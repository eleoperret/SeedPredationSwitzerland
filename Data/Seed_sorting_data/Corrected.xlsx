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\Data\"/>
    </mc:Choice>
  </mc:AlternateContent>
  <xr:revisionPtr revIDLastSave="0" documentId="8_{F5DFD90A-4FE0-48A9-8C76-182962C87BC8}" xr6:coauthVersionLast="47" xr6:coauthVersionMax="47" xr10:uidLastSave="{00000000-0000-0000-0000-000000000000}"/>
  <bookViews>
    <workbookView xWindow="-45120" yWindow="4800" windowWidth="29040" windowHeight="15720" activeTab="7" xr2:uid="{D547B5E6-DCB9-4AF2-B4C5-6DE04E2140EA}"/>
  </bookViews>
  <sheets>
    <sheet name="BEA" sheetId="2" r:id="rId1"/>
    <sheet name="BET" sheetId="3" r:id="rId2"/>
    <sheet name="CEL" sheetId="5" r:id="rId3"/>
    <sheet name="NAT" sheetId="4" r:id="rId4"/>
    <sheet name="NEU" sheetId="1" r:id="rId5"/>
    <sheet name="SCH" sheetId="8" r:id="rId6"/>
    <sheet name="VOR" sheetId="6" r:id="rId7"/>
    <sheet name="WAL" sheetId="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5" i="7" l="1"/>
  <c r="K174" i="7"/>
  <c r="K173" i="7"/>
  <c r="K172" i="7"/>
  <c r="K171" i="7"/>
  <c r="K170" i="7"/>
  <c r="K157" i="7"/>
  <c r="K156" i="7"/>
  <c r="K155" i="7"/>
  <c r="K154" i="7"/>
  <c r="K153" i="7"/>
  <c r="K152" i="7"/>
  <c r="K139" i="7"/>
  <c r="K138" i="7"/>
  <c r="K137" i="7"/>
  <c r="K136" i="7"/>
  <c r="K135" i="7"/>
  <c r="K134" i="7"/>
  <c r="K121" i="7"/>
  <c r="K120" i="7"/>
  <c r="K119" i="7"/>
  <c r="K118" i="7"/>
  <c r="K117" i="7"/>
  <c r="K116" i="7"/>
  <c r="K103" i="7"/>
  <c r="K102" i="7"/>
  <c r="K101" i="7"/>
  <c r="K100" i="7"/>
  <c r="K99" i="7"/>
  <c r="K98" i="7"/>
  <c r="K169" i="7"/>
  <c r="K168" i="7"/>
  <c r="K167" i="7"/>
  <c r="K166" i="7"/>
  <c r="K165" i="7"/>
  <c r="K164" i="7"/>
  <c r="K151" i="7"/>
  <c r="K150" i="7"/>
  <c r="K149" i="7"/>
  <c r="K148" i="7"/>
  <c r="K147" i="7"/>
  <c r="K146" i="7"/>
  <c r="K133" i="7"/>
  <c r="K132" i="7"/>
  <c r="K131" i="7"/>
  <c r="K130" i="7"/>
  <c r="K129" i="7"/>
  <c r="K128" i="7"/>
  <c r="K115" i="7"/>
  <c r="K114" i="7"/>
  <c r="K113" i="7"/>
  <c r="K112" i="7"/>
  <c r="K111" i="7"/>
  <c r="K110" i="7"/>
  <c r="K79" i="7"/>
  <c r="K78" i="7"/>
  <c r="K77" i="7"/>
  <c r="K76" i="7"/>
  <c r="K75" i="7"/>
  <c r="K74" i="7"/>
  <c r="K61" i="7"/>
  <c r="K60" i="7"/>
  <c r="K59" i="7"/>
  <c r="K58" i="7"/>
  <c r="K57" i="7"/>
  <c r="K56" i="7"/>
  <c r="K43" i="7"/>
  <c r="K42" i="7"/>
  <c r="K41" i="7"/>
  <c r="K40" i="7"/>
  <c r="K39" i="7"/>
  <c r="K38" i="7"/>
  <c r="K25" i="7"/>
  <c r="K24" i="7"/>
  <c r="K23" i="7"/>
  <c r="K22" i="7"/>
  <c r="K21" i="7"/>
  <c r="K20" i="7"/>
  <c r="K7" i="7"/>
  <c r="K6" i="7"/>
  <c r="K5" i="7"/>
  <c r="K4" i="7"/>
  <c r="K3" i="7"/>
  <c r="K2" i="7"/>
  <c r="K21" i="4"/>
  <c r="K20" i="4"/>
  <c r="K19" i="4"/>
  <c r="K18" i="4"/>
  <c r="K17" i="4"/>
  <c r="K16" i="4"/>
  <c r="K15" i="4"/>
  <c r="K14" i="4"/>
  <c r="K184" i="8"/>
  <c r="K183" i="8"/>
  <c r="K182" i="8"/>
  <c r="K91" i="8"/>
  <c r="K90" i="8"/>
  <c r="K89" i="8"/>
  <c r="K88" i="8"/>
  <c r="K87" i="8"/>
  <c r="K86" i="8"/>
  <c r="K109" i="8"/>
  <c r="K108" i="8"/>
  <c r="K107" i="8"/>
  <c r="K55" i="8"/>
  <c r="K54" i="8"/>
  <c r="K53" i="8"/>
  <c r="K52" i="8"/>
  <c r="K51" i="8"/>
  <c r="K50" i="8"/>
  <c r="K163" i="8"/>
  <c r="K162" i="8"/>
  <c r="K161" i="8"/>
  <c r="K73" i="8"/>
  <c r="K72" i="8"/>
  <c r="K71" i="8"/>
  <c r="K106" i="8"/>
  <c r="K105" i="8"/>
  <c r="K104" i="8"/>
  <c r="K19" i="8"/>
  <c r="K18" i="8"/>
  <c r="K17" i="8"/>
  <c r="K127" i="8"/>
  <c r="K126" i="8"/>
  <c r="K125" i="8"/>
  <c r="K16" i="8"/>
  <c r="K15" i="8"/>
  <c r="K14" i="8"/>
  <c r="K181" i="8"/>
  <c r="K180" i="8"/>
  <c r="K179" i="8"/>
  <c r="K160" i="8"/>
  <c r="K159" i="8"/>
  <c r="K158" i="8"/>
  <c r="K70" i="8"/>
  <c r="K69" i="8"/>
  <c r="K68" i="8"/>
  <c r="K49" i="8"/>
  <c r="K48" i="8"/>
  <c r="K47" i="8"/>
  <c r="K169" i="3"/>
  <c r="K168" i="3"/>
  <c r="K167" i="3"/>
  <c r="K70" i="3"/>
  <c r="K69" i="3"/>
  <c r="K68" i="3"/>
  <c r="K154" i="3"/>
  <c r="K153" i="3"/>
  <c r="K152" i="3"/>
  <c r="K82" i="3"/>
  <c r="K81" i="3"/>
  <c r="K80" i="3"/>
  <c r="K49" i="3"/>
  <c r="K48" i="3"/>
  <c r="K47" i="3"/>
  <c r="K100" i="3"/>
  <c r="K99" i="3"/>
  <c r="K98" i="3"/>
  <c r="K13" i="3"/>
  <c r="K12" i="3"/>
  <c r="K11" i="3"/>
  <c r="K79" i="3"/>
  <c r="K78" i="3"/>
  <c r="K77" i="3"/>
  <c r="K133" i="3"/>
  <c r="K132" i="3"/>
  <c r="K131" i="3"/>
  <c r="K67" i="3"/>
  <c r="K66" i="3"/>
  <c r="K65" i="3"/>
  <c r="K31" i="3"/>
  <c r="K30" i="3"/>
  <c r="K29" i="3"/>
  <c r="K151" i="3"/>
  <c r="K150" i="3"/>
  <c r="K149" i="3"/>
  <c r="K148" i="3"/>
  <c r="K147" i="3"/>
  <c r="K146" i="3"/>
  <c r="K121" i="3"/>
  <c r="K120" i="3"/>
  <c r="K119" i="3"/>
  <c r="K76" i="3"/>
  <c r="K75" i="3"/>
  <c r="K74" i="3"/>
  <c r="K46" i="3"/>
  <c r="K45" i="3"/>
  <c r="K44" i="3"/>
  <c r="K118" i="3"/>
  <c r="K117" i="3"/>
  <c r="K116" i="3"/>
  <c r="K166" i="3"/>
  <c r="K165" i="3"/>
  <c r="K164" i="3"/>
  <c r="K28" i="3"/>
  <c r="K27" i="3"/>
  <c r="K26" i="3"/>
  <c r="K10" i="3"/>
  <c r="K9" i="3"/>
  <c r="K8" i="3"/>
  <c r="K115" i="3"/>
  <c r="K114" i="3"/>
  <c r="K113" i="3"/>
  <c r="K130" i="3"/>
  <c r="K129" i="3"/>
  <c r="K128" i="3"/>
  <c r="K64" i="3"/>
  <c r="K63" i="3"/>
  <c r="K62" i="3"/>
  <c r="K43" i="3"/>
  <c r="K42" i="3"/>
  <c r="K41" i="3"/>
  <c r="K97" i="3"/>
  <c r="K96" i="3"/>
  <c r="K95" i="3"/>
  <c r="K40" i="3"/>
  <c r="K39" i="3"/>
  <c r="K38" i="3"/>
  <c r="K4" i="3"/>
  <c r="K3" i="3"/>
  <c r="K2" i="3"/>
  <c r="K163" i="3"/>
  <c r="K162" i="3"/>
  <c r="K161" i="3"/>
  <c r="K94" i="3"/>
  <c r="K93" i="3"/>
  <c r="K92" i="3"/>
  <c r="K127" i="3"/>
  <c r="K126" i="3"/>
  <c r="K125" i="3"/>
  <c r="K58" i="3"/>
  <c r="K57" i="3"/>
  <c r="K56" i="3"/>
  <c r="K109" i="3"/>
  <c r="K108" i="3"/>
  <c r="K107" i="3"/>
  <c r="K22" i="3"/>
  <c r="K21" i="3"/>
  <c r="K20" i="3"/>
  <c r="K73" i="3"/>
  <c r="K72" i="3"/>
  <c r="K71" i="3"/>
  <c r="K25" i="3"/>
  <c r="K24" i="3"/>
  <c r="K23" i="3"/>
  <c r="K145" i="3"/>
  <c r="K144" i="3"/>
  <c r="K143" i="3"/>
  <c r="K7" i="3"/>
  <c r="K6" i="3"/>
  <c r="K5" i="3"/>
  <c r="K91" i="3"/>
  <c r="K90" i="3"/>
  <c r="K89" i="3"/>
  <c r="K23" i="4"/>
  <c r="K22" i="4"/>
  <c r="K25" i="4"/>
  <c r="K24" i="4"/>
  <c r="K61" i="4"/>
  <c r="K60" i="4"/>
  <c r="K163" i="6"/>
  <c r="K162" i="6"/>
  <c r="K161" i="6"/>
  <c r="K127" i="6"/>
  <c r="K126" i="6"/>
  <c r="K125" i="6"/>
  <c r="K55" i="6"/>
  <c r="K54" i="6"/>
  <c r="K53" i="6"/>
  <c r="K124" i="6"/>
  <c r="K123" i="6"/>
  <c r="K122" i="6"/>
  <c r="K19" i="6"/>
  <c r="K18" i="6"/>
  <c r="K17" i="6"/>
  <c r="K52" i="6"/>
  <c r="K51" i="6"/>
  <c r="K50" i="6"/>
  <c r="K160" i="6"/>
  <c r="K159" i="6"/>
  <c r="K158" i="6"/>
  <c r="K16" i="6"/>
  <c r="K15" i="6"/>
  <c r="K14" i="6"/>
  <c r="K91" i="6"/>
  <c r="K90" i="6"/>
  <c r="K89" i="6"/>
  <c r="K145" i="6"/>
  <c r="K144" i="6"/>
  <c r="K143" i="6"/>
  <c r="K37" i="6"/>
  <c r="K36" i="6"/>
  <c r="K35" i="6"/>
  <c r="K73" i="6"/>
  <c r="K72" i="6"/>
  <c r="K71" i="6"/>
  <c r="K109" i="6"/>
  <c r="K108" i="6"/>
  <c r="K107" i="6"/>
  <c r="K106" i="6"/>
  <c r="K105" i="6"/>
  <c r="K104" i="6"/>
  <c r="K142" i="6"/>
  <c r="K141" i="6"/>
  <c r="K140" i="6"/>
  <c r="K181" i="6"/>
  <c r="K180" i="6"/>
  <c r="K179" i="6"/>
  <c r="K70" i="6"/>
  <c r="K69" i="6"/>
  <c r="K68" i="6"/>
  <c r="K178" i="6"/>
  <c r="K177" i="6"/>
  <c r="K176" i="6"/>
  <c r="K34" i="6"/>
  <c r="K33" i="6"/>
  <c r="K32" i="6"/>
  <c r="K88" i="6"/>
  <c r="K87" i="6"/>
  <c r="K86" i="6"/>
  <c r="K142" i="3"/>
  <c r="K141" i="3"/>
  <c r="K140" i="3"/>
  <c r="K178" i="3"/>
  <c r="K177" i="3"/>
  <c r="K176" i="3"/>
  <c r="K106" i="3"/>
  <c r="K105" i="3"/>
  <c r="K104" i="3"/>
  <c r="K88" i="3"/>
  <c r="K87" i="3"/>
  <c r="K86" i="3"/>
  <c r="K175" i="3"/>
  <c r="K174" i="3"/>
  <c r="K173" i="3"/>
  <c r="K85" i="3"/>
  <c r="K84" i="3"/>
  <c r="K83" i="3"/>
  <c r="K139" i="3"/>
  <c r="K138" i="3"/>
  <c r="K137" i="3"/>
  <c r="K103" i="3"/>
  <c r="K102" i="3"/>
  <c r="K101" i="3"/>
  <c r="K55" i="3"/>
  <c r="K54" i="3"/>
  <c r="K53" i="3"/>
  <c r="K52" i="3"/>
  <c r="K51" i="3"/>
  <c r="K50" i="3"/>
  <c r="K37" i="3"/>
  <c r="K36" i="3"/>
  <c r="K35" i="3"/>
  <c r="K172" i="3"/>
  <c r="K171" i="3"/>
  <c r="K170" i="3"/>
  <c r="K124" i="3"/>
  <c r="K123" i="3"/>
  <c r="K122" i="3"/>
  <c r="K19" i="3"/>
  <c r="K18" i="3"/>
  <c r="K17" i="3"/>
  <c r="K136" i="3"/>
  <c r="K135" i="3"/>
  <c r="K134" i="3"/>
  <c r="K160" i="3"/>
  <c r="K159" i="3"/>
  <c r="K158" i="3"/>
  <c r="K16" i="3"/>
  <c r="K15" i="3"/>
  <c r="K14" i="3"/>
  <c r="K157" i="3"/>
  <c r="K156" i="3"/>
  <c r="K155" i="3"/>
  <c r="K34" i="3"/>
  <c r="K33" i="3"/>
  <c r="K32" i="3"/>
  <c r="K29" i="2"/>
  <c r="K28" i="2"/>
  <c r="K33" i="2"/>
  <c r="K32" i="2"/>
  <c r="K101" i="2"/>
  <c r="K100" i="2"/>
  <c r="K89" i="2"/>
  <c r="K88" i="2"/>
  <c r="K53" i="2"/>
  <c r="K52" i="2"/>
  <c r="K113" i="2"/>
  <c r="K112" i="2"/>
  <c r="K17" i="2"/>
  <c r="K16" i="2"/>
  <c r="K99" i="2"/>
  <c r="K98" i="2"/>
  <c r="K5" i="2"/>
  <c r="K4" i="2"/>
  <c r="K77" i="2"/>
  <c r="K76" i="2"/>
  <c r="K105" i="2"/>
  <c r="K104" i="2"/>
  <c r="K57" i="2"/>
  <c r="K56" i="2"/>
  <c r="K45" i="2"/>
  <c r="K44" i="2"/>
  <c r="K69" i="2"/>
  <c r="K68" i="2"/>
  <c r="K21" i="2"/>
  <c r="K20" i="2"/>
  <c r="K81" i="2"/>
  <c r="K80" i="2"/>
  <c r="K43" i="2"/>
  <c r="K42" i="2"/>
  <c r="K103" i="2"/>
  <c r="K102" i="2"/>
  <c r="K117" i="2"/>
  <c r="K116" i="2"/>
  <c r="K19" i="2"/>
  <c r="K18" i="2"/>
  <c r="K93" i="5"/>
  <c r="K92" i="5"/>
  <c r="K117" i="5"/>
  <c r="K116" i="5"/>
  <c r="K81" i="5"/>
  <c r="K80" i="5"/>
  <c r="K53" i="5"/>
  <c r="K52" i="5"/>
  <c r="K79" i="5"/>
  <c r="K78" i="5"/>
  <c r="K51" i="5"/>
  <c r="K50" i="5"/>
  <c r="K73" i="5"/>
  <c r="K72" i="5"/>
  <c r="K57" i="5"/>
  <c r="K56" i="5"/>
  <c r="K77" i="5"/>
  <c r="K76" i="5"/>
  <c r="K55" i="5"/>
  <c r="K54" i="5"/>
  <c r="K37" i="5"/>
  <c r="K36" i="5"/>
  <c r="K35" i="5"/>
  <c r="K34" i="5"/>
  <c r="K71" i="5"/>
  <c r="K70" i="5"/>
  <c r="K75" i="5"/>
  <c r="K74" i="5"/>
  <c r="K35" i="4"/>
  <c r="K34" i="4"/>
  <c r="K41" i="4"/>
  <c r="K40" i="4"/>
  <c r="K31" i="4"/>
  <c r="K30" i="4"/>
  <c r="K112" i="3"/>
  <c r="K111" i="3"/>
  <c r="K110" i="3"/>
  <c r="K61" i="3"/>
  <c r="K60" i="3"/>
  <c r="K59" i="3"/>
  <c r="K175" i="6"/>
  <c r="K174" i="6"/>
  <c r="K173" i="6"/>
  <c r="K157" i="6"/>
  <c r="K156" i="6"/>
  <c r="K155" i="6"/>
  <c r="K103" i="6"/>
  <c r="K102" i="6"/>
  <c r="K101" i="6"/>
  <c r="K13" i="6"/>
  <c r="K12" i="6"/>
  <c r="K11" i="6"/>
  <c r="K85" i="6"/>
  <c r="K84" i="6"/>
  <c r="K83" i="6"/>
  <c r="K100" i="6"/>
  <c r="K99" i="6"/>
  <c r="K98" i="6"/>
  <c r="K49" i="6"/>
  <c r="K48" i="6"/>
  <c r="K47" i="6"/>
  <c r="K67" i="6"/>
  <c r="K66" i="6"/>
  <c r="K65" i="6"/>
  <c r="K172" i="6"/>
  <c r="K171" i="6"/>
  <c r="K170" i="6"/>
  <c r="K139" i="6"/>
  <c r="K138" i="6"/>
  <c r="K137" i="6"/>
  <c r="K121" i="6"/>
  <c r="K120" i="6"/>
  <c r="K119" i="6"/>
  <c r="K31" i="6"/>
  <c r="K30" i="6"/>
  <c r="K29" i="6"/>
  <c r="K46" i="6"/>
  <c r="K45" i="6"/>
  <c r="K44" i="6"/>
  <c r="K136" i="6"/>
  <c r="K135" i="6"/>
  <c r="K134" i="6"/>
  <c r="K28" i="6"/>
  <c r="K27" i="6"/>
  <c r="K26" i="6"/>
  <c r="K82" i="6"/>
  <c r="K81" i="6"/>
  <c r="K80" i="6"/>
  <c r="K154" i="6"/>
  <c r="K153" i="6"/>
  <c r="K152" i="6"/>
  <c r="K10" i="6"/>
  <c r="K9" i="6"/>
  <c r="K8" i="6"/>
  <c r="K64" i="6"/>
  <c r="K63" i="6"/>
  <c r="K62" i="6"/>
  <c r="K118" i="6"/>
  <c r="K117" i="6"/>
  <c r="K116" i="6"/>
  <c r="K97" i="7"/>
  <c r="K96" i="7"/>
  <c r="K95" i="7"/>
  <c r="K94" i="7"/>
  <c r="K93" i="7"/>
  <c r="K92" i="7"/>
  <c r="K178" i="8"/>
  <c r="K177" i="8"/>
  <c r="K176" i="8"/>
  <c r="K31" i="2"/>
  <c r="K30" i="2"/>
  <c r="K27" i="2"/>
  <c r="K26" i="2"/>
  <c r="K65" i="2"/>
  <c r="K64" i="2"/>
  <c r="K111" i="2"/>
  <c r="K110" i="2"/>
  <c r="K63" i="2"/>
  <c r="K62" i="2"/>
  <c r="K87" i="2"/>
  <c r="K86" i="2"/>
  <c r="K55" i="2"/>
  <c r="K54" i="2"/>
  <c r="K93" i="2"/>
  <c r="K92" i="2"/>
  <c r="K79" i="2"/>
  <c r="K78" i="2"/>
  <c r="K41" i="2"/>
  <c r="K40" i="2"/>
  <c r="K39" i="2"/>
  <c r="K38" i="2"/>
  <c r="K9" i="2"/>
  <c r="K8" i="2"/>
  <c r="K91" i="2"/>
  <c r="K90" i="2"/>
  <c r="K67" i="2"/>
  <c r="K66" i="2"/>
  <c r="K115" i="2"/>
  <c r="K114" i="2"/>
  <c r="K7" i="2"/>
  <c r="K6" i="2"/>
  <c r="K43" i="6"/>
  <c r="K42" i="6"/>
  <c r="K41" i="6"/>
  <c r="K97" i="6"/>
  <c r="K96" i="6"/>
  <c r="K95" i="6"/>
  <c r="K151" i="6"/>
  <c r="K150" i="6"/>
  <c r="K149" i="6"/>
  <c r="K61" i="6"/>
  <c r="K60" i="6"/>
  <c r="K59" i="6"/>
  <c r="K40" i="6"/>
  <c r="K39" i="6"/>
  <c r="K38" i="6"/>
  <c r="K115" i="6"/>
  <c r="K114" i="6"/>
  <c r="K113" i="6"/>
  <c r="K79" i="6"/>
  <c r="K78" i="6"/>
  <c r="K77" i="6"/>
  <c r="K169" i="6"/>
  <c r="K168" i="6"/>
  <c r="K167" i="6"/>
  <c r="K133" i="6"/>
  <c r="K132" i="6"/>
  <c r="K131" i="6"/>
  <c r="K148" i="6"/>
  <c r="K147" i="6"/>
  <c r="K146" i="6"/>
  <c r="K130" i="6"/>
  <c r="K129" i="6"/>
  <c r="K128" i="6"/>
  <c r="K166" i="6"/>
  <c r="K165" i="6"/>
  <c r="K164" i="6"/>
  <c r="K7" i="6"/>
  <c r="K6" i="6"/>
  <c r="K5" i="6"/>
  <c r="K163" i="7"/>
  <c r="K162" i="7"/>
  <c r="K161" i="7"/>
  <c r="K109" i="7"/>
  <c r="K108" i="7"/>
  <c r="K107" i="7"/>
  <c r="K145" i="7"/>
  <c r="K144" i="7"/>
  <c r="K143" i="7"/>
  <c r="K37" i="7"/>
  <c r="K36" i="7"/>
  <c r="K35" i="7"/>
  <c r="K175" i="8"/>
  <c r="K174" i="8"/>
  <c r="K173" i="8"/>
  <c r="K172" i="8"/>
  <c r="K171" i="8"/>
  <c r="K170" i="8"/>
  <c r="K157" i="8"/>
  <c r="K156" i="8"/>
  <c r="K155" i="8"/>
  <c r="K154" i="8"/>
  <c r="K153" i="8"/>
  <c r="K152" i="8"/>
  <c r="K139" i="8"/>
  <c r="K138" i="8"/>
  <c r="K137" i="8"/>
  <c r="K136" i="8"/>
  <c r="K135" i="8"/>
  <c r="K134" i="8"/>
  <c r="K121" i="8"/>
  <c r="K120" i="8"/>
  <c r="K119" i="8"/>
  <c r="K118" i="8"/>
  <c r="K117" i="8"/>
  <c r="K116" i="8"/>
  <c r="K103" i="8"/>
  <c r="K102" i="8"/>
  <c r="K101" i="8"/>
  <c r="K100" i="8"/>
  <c r="K99" i="8"/>
  <c r="K98" i="8"/>
  <c r="K85" i="8"/>
  <c r="K84" i="8"/>
  <c r="K83" i="8"/>
  <c r="K82" i="8"/>
  <c r="K81" i="8"/>
  <c r="K80" i="8"/>
  <c r="K67" i="8"/>
  <c r="K66" i="8"/>
  <c r="K65" i="8"/>
  <c r="K64" i="8"/>
  <c r="K63" i="8"/>
  <c r="K62" i="8"/>
  <c r="K46" i="8"/>
  <c r="K45" i="8"/>
  <c r="K44" i="8"/>
  <c r="K43" i="8"/>
  <c r="K42" i="8"/>
  <c r="K41" i="8"/>
  <c r="K31" i="8"/>
  <c r="K30" i="8"/>
  <c r="K29" i="8"/>
  <c r="K28" i="8"/>
  <c r="K27" i="8"/>
  <c r="K26" i="8"/>
  <c r="K13" i="8"/>
  <c r="K12" i="8"/>
  <c r="K11" i="8"/>
  <c r="K10" i="8"/>
  <c r="K9" i="8"/>
  <c r="K8" i="8"/>
  <c r="K139" i="1"/>
  <c r="K138" i="1"/>
  <c r="K137" i="1"/>
  <c r="K181" i="1"/>
  <c r="K180" i="1"/>
  <c r="K179" i="1"/>
  <c r="K178" i="1"/>
  <c r="K177" i="1"/>
  <c r="K176" i="1"/>
  <c r="K151" i="1"/>
  <c r="K150" i="1"/>
  <c r="K149" i="1"/>
  <c r="K157" i="1"/>
  <c r="K156" i="1"/>
  <c r="K155" i="1"/>
  <c r="K145" i="1"/>
  <c r="K144" i="1"/>
  <c r="K143" i="1"/>
  <c r="K133" i="1"/>
  <c r="K132" i="1"/>
  <c r="K131" i="1"/>
  <c r="K163" i="1"/>
  <c r="K162" i="1"/>
  <c r="K161" i="1"/>
  <c r="K148" i="1"/>
  <c r="K147" i="1"/>
  <c r="K146" i="1"/>
  <c r="K160" i="1"/>
  <c r="K159" i="1"/>
  <c r="K158" i="1"/>
  <c r="K136" i="1"/>
  <c r="K135" i="1"/>
  <c r="K134" i="1"/>
  <c r="K169" i="1"/>
  <c r="K168" i="1"/>
  <c r="K167" i="1"/>
  <c r="K142" i="1"/>
  <c r="K141" i="1"/>
  <c r="K140" i="1"/>
  <c r="K154" i="1"/>
  <c r="K153" i="1"/>
  <c r="K152" i="1"/>
  <c r="K49" i="1"/>
  <c r="K48" i="1"/>
  <c r="K47" i="1"/>
  <c r="K43" i="1"/>
  <c r="K42" i="1"/>
  <c r="K41" i="1"/>
  <c r="K40" i="1"/>
  <c r="K39" i="1"/>
  <c r="K38" i="1"/>
  <c r="K37" i="1"/>
  <c r="K36" i="1"/>
  <c r="K35" i="1"/>
  <c r="K34" i="1"/>
  <c r="K33" i="1"/>
  <c r="K32" i="1"/>
  <c r="K13" i="1"/>
  <c r="K12" i="1"/>
  <c r="K11" i="1"/>
  <c r="K10" i="1"/>
  <c r="K9" i="1"/>
  <c r="K8" i="1"/>
  <c r="K106" i="1"/>
  <c r="K105" i="1"/>
  <c r="K104" i="1"/>
  <c r="K103" i="1"/>
  <c r="K102" i="1"/>
  <c r="K101" i="1"/>
  <c r="K115" i="1"/>
  <c r="K114" i="1"/>
  <c r="K113" i="1"/>
  <c r="K100" i="1"/>
  <c r="K99" i="1"/>
  <c r="K98" i="1"/>
  <c r="K97" i="1"/>
  <c r="K96" i="1"/>
  <c r="K95" i="1"/>
  <c r="K121" i="1"/>
  <c r="K120" i="1"/>
  <c r="K119" i="1"/>
  <c r="K112" i="1"/>
  <c r="K111" i="1"/>
  <c r="K110" i="1"/>
  <c r="K118" i="1"/>
  <c r="K117" i="1"/>
  <c r="K116" i="1"/>
  <c r="K109" i="1"/>
  <c r="K108" i="1"/>
  <c r="K107" i="1"/>
  <c r="K175" i="1"/>
  <c r="K174" i="1"/>
  <c r="K173" i="1"/>
  <c r="K166" i="1"/>
  <c r="K165" i="1"/>
  <c r="K164" i="1"/>
  <c r="K127" i="1"/>
  <c r="K126" i="1"/>
  <c r="K125" i="1"/>
  <c r="K172" i="1"/>
  <c r="K171" i="1"/>
  <c r="K170" i="1"/>
  <c r="K124" i="1"/>
  <c r="K123" i="1"/>
  <c r="K122" i="1"/>
  <c r="K130" i="1"/>
  <c r="K129" i="1"/>
  <c r="K128" i="1"/>
  <c r="K94" i="1"/>
  <c r="K93" i="1"/>
  <c r="K92" i="1"/>
  <c r="K61" i="1"/>
  <c r="K60" i="1"/>
  <c r="K59" i="1"/>
  <c r="K55" i="1"/>
  <c r="K54" i="1"/>
  <c r="K53" i="1"/>
  <c r="K52" i="1"/>
  <c r="K51" i="1"/>
  <c r="K50" i="1"/>
  <c r="K58" i="1"/>
  <c r="K57" i="1"/>
  <c r="K56" i="1"/>
  <c r="K46" i="1"/>
  <c r="K45" i="1"/>
  <c r="K44" i="1"/>
  <c r="K73" i="1"/>
  <c r="K72" i="1"/>
  <c r="K71" i="1"/>
  <c r="K91" i="1"/>
  <c r="K90" i="1"/>
  <c r="K89" i="1"/>
  <c r="K88" i="1"/>
  <c r="K87" i="1"/>
  <c r="K86" i="1"/>
  <c r="K79" i="1"/>
  <c r="K78" i="1"/>
  <c r="K77" i="1"/>
  <c r="K76" i="1"/>
  <c r="K75" i="1"/>
  <c r="K74" i="1"/>
  <c r="K85" i="1"/>
  <c r="K84" i="1"/>
  <c r="K83" i="1"/>
  <c r="K82" i="1"/>
  <c r="K81" i="1"/>
  <c r="K80" i="1"/>
  <c r="K70" i="1"/>
  <c r="K69" i="1"/>
  <c r="K68" i="1"/>
  <c r="K67" i="1"/>
  <c r="K66" i="1"/>
  <c r="K65" i="1"/>
  <c r="K64" i="1"/>
  <c r="K63" i="1"/>
  <c r="K62" i="1"/>
  <c r="K85" i="7"/>
  <c r="K84" i="7"/>
  <c r="K83" i="7"/>
  <c r="K82" i="7"/>
  <c r="K81" i="7"/>
  <c r="K80" i="7"/>
  <c r="K67" i="7"/>
  <c r="K66" i="7"/>
  <c r="K65" i="7"/>
  <c r="K64" i="7"/>
  <c r="K63" i="7"/>
  <c r="K62" i="7"/>
  <c r="K49" i="7"/>
  <c r="K48" i="7"/>
  <c r="K47" i="7"/>
  <c r="K46" i="7"/>
  <c r="K45" i="7"/>
  <c r="K44" i="7"/>
  <c r="K31" i="7"/>
  <c r="K30" i="7"/>
  <c r="K29" i="7"/>
  <c r="K28" i="7"/>
  <c r="K27" i="7"/>
  <c r="K26" i="7"/>
  <c r="K13" i="7"/>
  <c r="K12" i="7"/>
  <c r="K11" i="7"/>
  <c r="K10" i="7"/>
  <c r="K9" i="7"/>
  <c r="K8" i="7"/>
  <c r="K94" i="6"/>
  <c r="K93" i="6"/>
  <c r="K92" i="6"/>
  <c r="K25" i="6"/>
  <c r="K24" i="6"/>
  <c r="K23" i="6"/>
  <c r="K22" i="6"/>
  <c r="K21" i="6"/>
  <c r="K20" i="6"/>
  <c r="K58" i="6"/>
  <c r="K57" i="6"/>
  <c r="K56" i="6"/>
  <c r="K112" i="6"/>
  <c r="K111" i="6"/>
  <c r="K110" i="6"/>
  <c r="K76" i="6"/>
  <c r="K75" i="6"/>
  <c r="K74" i="6"/>
  <c r="K4" i="6"/>
  <c r="K3" i="6"/>
  <c r="K2" i="6"/>
  <c r="K85" i="5"/>
  <c r="K84" i="5"/>
  <c r="K115" i="5"/>
  <c r="K114" i="5"/>
  <c r="K97" i="5"/>
  <c r="K96" i="5"/>
  <c r="K89" i="5"/>
  <c r="K88" i="5"/>
  <c r="K87" i="5"/>
  <c r="K86" i="5"/>
  <c r="K105" i="5"/>
  <c r="K104" i="5"/>
  <c r="K109" i="5"/>
  <c r="K108" i="5"/>
  <c r="K95" i="5"/>
  <c r="K94" i="5"/>
  <c r="K101" i="5"/>
  <c r="K100" i="5"/>
  <c r="K121" i="5"/>
  <c r="K120" i="5"/>
  <c r="K91" i="5"/>
  <c r="K90" i="5"/>
  <c r="K113" i="5"/>
  <c r="K112" i="5"/>
  <c r="K103" i="5"/>
  <c r="K102" i="5"/>
  <c r="K107" i="5"/>
  <c r="K106" i="5"/>
  <c r="K99" i="5"/>
  <c r="K98" i="5"/>
  <c r="K111" i="5"/>
  <c r="K110" i="5"/>
  <c r="K83" i="5"/>
  <c r="K82" i="5"/>
  <c r="K119" i="5"/>
  <c r="K118" i="5"/>
  <c r="K51" i="2"/>
  <c r="K50" i="2"/>
  <c r="K75" i="2"/>
  <c r="K74" i="2"/>
  <c r="K3" i="2"/>
  <c r="K2" i="2"/>
  <c r="K15" i="2"/>
  <c r="K14" i="2"/>
  <c r="K127" i="7"/>
  <c r="K126" i="7"/>
  <c r="K125" i="7"/>
  <c r="K34" i="7"/>
  <c r="K33" i="7"/>
  <c r="K32" i="7"/>
  <c r="K73" i="7"/>
  <c r="K72" i="7"/>
  <c r="K71" i="7"/>
  <c r="K142" i="7"/>
  <c r="K141" i="7"/>
  <c r="K140" i="7"/>
  <c r="K19" i="7"/>
  <c r="K18" i="7"/>
  <c r="K17" i="7"/>
  <c r="K91" i="7"/>
  <c r="K90" i="7"/>
  <c r="K89" i="7"/>
  <c r="K55" i="7"/>
  <c r="K54" i="7"/>
  <c r="K53" i="7"/>
  <c r="K88" i="7"/>
  <c r="K87" i="7"/>
  <c r="K86" i="7"/>
  <c r="K181" i="7"/>
  <c r="K180" i="7"/>
  <c r="K179" i="7"/>
  <c r="K16" i="7"/>
  <c r="K15" i="7"/>
  <c r="K14" i="7"/>
  <c r="K70" i="7"/>
  <c r="K69" i="7"/>
  <c r="K68" i="7"/>
  <c r="K52" i="7"/>
  <c r="K51" i="7"/>
  <c r="K50" i="7"/>
  <c r="K124" i="7"/>
  <c r="K123" i="7"/>
  <c r="K122" i="7"/>
  <c r="K106" i="7"/>
  <c r="K105" i="7"/>
  <c r="K104" i="7"/>
  <c r="K160" i="7"/>
  <c r="K159" i="7"/>
  <c r="K158" i="7"/>
  <c r="K178" i="7"/>
  <c r="K177" i="7"/>
  <c r="K176" i="7"/>
  <c r="K145" i="8"/>
  <c r="K144" i="8"/>
  <c r="K143" i="8"/>
  <c r="K142" i="8"/>
  <c r="K141" i="8"/>
  <c r="K140" i="8"/>
  <c r="K124" i="8"/>
  <c r="K123" i="8"/>
  <c r="K122" i="8"/>
  <c r="K34" i="8"/>
  <c r="K33" i="8"/>
  <c r="K32" i="8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121" i="2"/>
  <c r="K120" i="2"/>
  <c r="K119" i="2"/>
  <c r="K118" i="2"/>
  <c r="K109" i="2"/>
  <c r="K108" i="2"/>
  <c r="K107" i="2"/>
  <c r="K106" i="2"/>
  <c r="K97" i="2"/>
  <c r="K96" i="2"/>
  <c r="K95" i="2"/>
  <c r="K94" i="2"/>
  <c r="K85" i="2"/>
  <c r="K84" i="2"/>
  <c r="K83" i="2"/>
  <c r="K82" i="2"/>
  <c r="K73" i="2"/>
  <c r="K72" i="2"/>
  <c r="K71" i="2"/>
  <c r="K70" i="2"/>
  <c r="K61" i="2"/>
  <c r="K60" i="2"/>
  <c r="K59" i="2"/>
  <c r="K58" i="2"/>
  <c r="K49" i="2"/>
  <c r="K48" i="2"/>
  <c r="K47" i="2"/>
  <c r="K46" i="2"/>
  <c r="K37" i="2"/>
  <c r="K36" i="2"/>
  <c r="K35" i="2"/>
  <c r="K34" i="2"/>
  <c r="K25" i="2"/>
  <c r="K24" i="2"/>
  <c r="K23" i="2"/>
  <c r="K22" i="2"/>
  <c r="K13" i="2"/>
  <c r="K12" i="2"/>
  <c r="K11" i="2"/>
  <c r="K10" i="2"/>
  <c r="K41" i="5"/>
  <c r="K40" i="5"/>
  <c r="K39" i="5"/>
  <c r="K38" i="5"/>
  <c r="K33" i="5"/>
  <c r="K32" i="5"/>
  <c r="K31" i="5"/>
  <c r="K30" i="5"/>
  <c r="K29" i="5"/>
  <c r="K28" i="5"/>
  <c r="K27" i="5"/>
  <c r="K26" i="5"/>
  <c r="K25" i="5"/>
  <c r="K24" i="5"/>
  <c r="K23" i="5"/>
  <c r="K22" i="5"/>
  <c r="K151" i="8"/>
  <c r="K150" i="8"/>
  <c r="K149" i="8"/>
  <c r="K148" i="8"/>
  <c r="K147" i="8"/>
  <c r="K146" i="8"/>
  <c r="K79" i="8"/>
  <c r="K78" i="8"/>
  <c r="K77" i="8"/>
  <c r="K76" i="8"/>
  <c r="K75" i="8"/>
  <c r="K74" i="8"/>
  <c r="K40" i="8"/>
  <c r="K39" i="8"/>
  <c r="K38" i="8"/>
  <c r="K37" i="8"/>
  <c r="K36" i="8"/>
  <c r="K35" i="8"/>
  <c r="K25" i="8"/>
  <c r="K24" i="8"/>
  <c r="K23" i="8"/>
  <c r="K22" i="8"/>
  <c r="K21" i="8"/>
  <c r="K20" i="8"/>
  <c r="K7" i="8"/>
  <c r="K6" i="8"/>
  <c r="K5" i="8"/>
  <c r="K4" i="8"/>
  <c r="K3" i="8"/>
  <c r="K2" i="8"/>
  <c r="K169" i="8"/>
  <c r="K168" i="8"/>
  <c r="K167" i="8"/>
  <c r="K166" i="8"/>
  <c r="K165" i="8"/>
  <c r="K164" i="8"/>
  <c r="K133" i="8"/>
  <c r="K132" i="8"/>
  <c r="K131" i="8"/>
  <c r="K130" i="8"/>
  <c r="K129" i="8"/>
  <c r="K128" i="8"/>
  <c r="K115" i="8"/>
  <c r="K114" i="8"/>
  <c r="K113" i="8"/>
  <c r="K112" i="8"/>
  <c r="K111" i="8"/>
  <c r="K110" i="8"/>
  <c r="K97" i="8"/>
  <c r="K96" i="8"/>
  <c r="K95" i="8"/>
  <c r="K94" i="8"/>
  <c r="K93" i="8"/>
  <c r="K92" i="8"/>
  <c r="K61" i="8"/>
  <c r="K60" i="8"/>
  <c r="K59" i="8"/>
  <c r="K58" i="8"/>
  <c r="K57" i="8"/>
  <c r="K56" i="8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39" i="4"/>
  <c r="K38" i="4"/>
  <c r="K37" i="4"/>
  <c r="K36" i="4"/>
  <c r="K33" i="4"/>
  <c r="K32" i="4"/>
  <c r="K29" i="4"/>
  <c r="K28" i="4"/>
  <c r="K27" i="4"/>
  <c r="K26" i="4"/>
  <c r="K13" i="4"/>
  <c r="K12" i="4"/>
  <c r="K11" i="4"/>
  <c r="K10" i="4"/>
  <c r="K9" i="4"/>
  <c r="K8" i="4"/>
  <c r="K7" i="4"/>
  <c r="K6" i="4"/>
  <c r="K5" i="4"/>
  <c r="K4" i="4"/>
  <c r="K3" i="4"/>
  <c r="K2" i="4"/>
  <c r="K69" i="5"/>
  <c r="K68" i="5"/>
  <c r="K67" i="5"/>
  <c r="K66" i="5"/>
  <c r="K65" i="5"/>
  <c r="K64" i="5"/>
  <c r="K63" i="5"/>
  <c r="K62" i="5"/>
  <c r="K61" i="5"/>
  <c r="K60" i="5"/>
  <c r="K59" i="5"/>
  <c r="K58" i="5"/>
  <c r="K49" i="5"/>
  <c r="K48" i="5"/>
  <c r="K47" i="5"/>
  <c r="K46" i="5"/>
  <c r="K45" i="5"/>
  <c r="K44" i="5"/>
  <c r="K43" i="5"/>
  <c r="K42" i="5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7" i="1"/>
  <c r="K6" i="1"/>
  <c r="K5" i="1"/>
  <c r="K4" i="1"/>
  <c r="K3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tc={07B96A4A-1B3B-4914-A636-A9BBEA00E072}</author>
    <author>tc={2BF68100-4D6D-40E1-A4C0-FCA06ADE781E}</author>
  </authors>
  <commentList>
    <comment ref="D120" authorId="0" shapeId="0" xr:uid="{07B96A4A-1B3B-4914-A636-A9BBEA00E072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Problem
</t>
      </text>
    </comment>
    <comment ref="D125" authorId="1" shapeId="0" xr:uid="{2BF68100-4D6D-40E1-A4C0-FCA06ADE7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Whole row wrong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tc={DE703BB6-04CE-42F9-ADBB-0C6445A84204}</author>
  </authors>
  <commentList>
    <comment ref="F95" authorId="0" shapeId="0" xr:uid="{DE703BB6-04CE-42F9-ADBB-0C6445A8420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probably 2</t>
      </text>
    </comment>
  </commentList>
</comments>
</file>

<file path=xl/sharedStrings.xml><?xml version="1.0" encoding="utf-8"?>
<sst xmlns="http://schemas.openxmlformats.org/spreadsheetml/2006/main" count="5404" uniqueCount="180">
  <si>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</si>
  <si>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</si>
  <si>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</si>
  <si>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</si>
  <si>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</si>
  <si>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</si>
  <si>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</si>
  <si>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</si>
  <si>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</si>
  <si>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</si>
  <si>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</si>
  <si>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</si>
  <si>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</si>
  <si>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</si>
  <si>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</si>
  <si>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NEU</t>
  </si>
  <si>
    <t>MD</t>
  </si>
  <si>
    <t>CW</t>
  </si>
  <si>
    <t>Fagus sylvatica</t>
  </si>
  <si>
    <t>Acer pseudoplatanus</t>
  </si>
  <si>
    <t>Tillia cordata</t>
  </si>
  <si>
    <t>Crack</t>
  </si>
  <si>
    <t>1 extra seed</t>
  </si>
  <si>
    <t>Hole and Crack</t>
  </si>
  <si>
    <t>CEL</t>
  </si>
  <si>
    <t>OL</t>
  </si>
  <si>
    <t>Pinus cembra</t>
  </si>
  <si>
    <t>52 ants, 12 other insects</t>
  </si>
  <si>
    <t>Larix decidua</t>
  </si>
  <si>
    <t>1 ant, 7 other insects</t>
  </si>
  <si>
    <t>Hole</t>
  </si>
  <si>
    <t>4 ants, 15 other insects</t>
  </si>
  <si>
    <t>7 insects</t>
  </si>
  <si>
    <t>7 ants, 3 other insects</t>
  </si>
  <si>
    <t>6 ants, 2 other insects</t>
  </si>
  <si>
    <t>10 insects</t>
  </si>
  <si>
    <t>NAT</t>
  </si>
  <si>
    <t>EP</t>
  </si>
  <si>
    <t>Pinus mugo</t>
  </si>
  <si>
    <t>2 ants</t>
  </si>
  <si>
    <t>6 ants, 1 other seed</t>
  </si>
  <si>
    <t>1 ant</t>
  </si>
  <si>
    <t>2 ants, 1 other insect, 1 other seed</t>
  </si>
  <si>
    <t>SG</t>
  </si>
  <si>
    <t>1 insect</t>
  </si>
  <si>
    <t>2 ants, 2 other insects</t>
  </si>
  <si>
    <t>1 ant, 2 other insects</t>
  </si>
  <si>
    <t>1 ant, 1 other insect</t>
  </si>
  <si>
    <t>2 insects</t>
  </si>
  <si>
    <t>1 ant, 2 other</t>
  </si>
  <si>
    <t>6 ants, 1 insect</t>
  </si>
  <si>
    <t>3 ants, 2 other insects, 1 other seed</t>
  </si>
  <si>
    <t>4 insects</t>
  </si>
  <si>
    <t>3 insects</t>
  </si>
  <si>
    <t>2 ants, 3 other insects</t>
  </si>
  <si>
    <t>Half a seed</t>
  </si>
  <si>
    <t>1 ant, 1 other seed</t>
  </si>
  <si>
    <t>4 ants, 1 other insect</t>
  </si>
  <si>
    <t>Hole and crack</t>
  </si>
  <si>
    <t>SCH</t>
  </si>
  <si>
    <t>Abies alba</t>
  </si>
  <si>
    <t>3 ants</t>
  </si>
  <si>
    <t>1 spider</t>
  </si>
  <si>
    <t>1 worm</t>
  </si>
  <si>
    <t>2 ants, 1 other seed</t>
  </si>
  <si>
    <t>1 ant, 7 other seeds</t>
  </si>
  <si>
    <t>3 ants, 5 other insects</t>
  </si>
  <si>
    <t>4 ants</t>
  </si>
  <si>
    <t>BEA</t>
  </si>
  <si>
    <t>Picea abies</t>
  </si>
  <si>
    <t>5 fagus sylvatica</t>
  </si>
  <si>
    <t>1 ant, 5 fagus sylvatica</t>
  </si>
  <si>
    <t>10 mosquitos, 1 spider</t>
  </si>
  <si>
    <t>Plus 100 mosquitos</t>
  </si>
  <si>
    <t>2 ants, 10 other insects</t>
  </si>
  <si>
    <t>1 ant, 3 other insects</t>
  </si>
  <si>
    <t>5 fagus sylvatica, 1 ant, 6 other insects</t>
  </si>
  <si>
    <t>1 catapillar</t>
  </si>
  <si>
    <t>3 ants, 2 other insects</t>
  </si>
  <si>
    <t>1 ant, 1 abies alba</t>
  </si>
  <si>
    <t>3 ants, 1 other insect</t>
  </si>
  <si>
    <t>5 ants</t>
  </si>
  <si>
    <t>1 ant, 1 cracked by me</t>
  </si>
  <si>
    <t>1 of the 3 empty</t>
  </si>
  <si>
    <t>Empty without seed</t>
  </si>
  <si>
    <t>WAL</t>
  </si>
  <si>
    <t>FL</t>
  </si>
  <si>
    <t>dead ant</t>
  </si>
  <si>
    <t>dead ants</t>
  </si>
  <si>
    <t xml:space="preserve">there seems to be a mistake, since there are more seeds than before </t>
  </si>
  <si>
    <t>MD&amp;SG</t>
  </si>
  <si>
    <t>CT</t>
  </si>
  <si>
    <t>Remains of hair and fur</t>
  </si>
  <si>
    <t>MD&amp;EP</t>
  </si>
  <si>
    <t xml:space="preserve">Several dead ants </t>
  </si>
  <si>
    <t>Several dead flies</t>
  </si>
  <si>
    <t xml:space="preserve">Dead flies and ants </t>
  </si>
  <si>
    <t xml:space="preserve">Dead bugs and ants </t>
  </si>
  <si>
    <t>Dead ants</t>
  </si>
  <si>
    <t>VOR</t>
  </si>
  <si>
    <t>6 coats</t>
  </si>
  <si>
    <t>1 coat</t>
  </si>
  <si>
    <t>29 half eaten</t>
  </si>
  <si>
    <t>5 coats</t>
  </si>
  <si>
    <t>8 coats</t>
  </si>
  <si>
    <t>1 coat+ 24 half eaten</t>
  </si>
  <si>
    <t xml:space="preserve">1 coat </t>
  </si>
  <si>
    <t>dead wasp</t>
  </si>
  <si>
    <t>JK</t>
  </si>
  <si>
    <t>ID NOT WRITTEN ON THE BAG</t>
  </si>
  <si>
    <t>36 seeds of tillia</t>
  </si>
  <si>
    <t>this bag was maybe already processed before</t>
  </si>
  <si>
    <t>more seeds</t>
  </si>
  <si>
    <t>in my opinion this could actually be a predation</t>
  </si>
  <si>
    <t>ID=MD&amp;SG&amp;EP</t>
  </si>
  <si>
    <t>plastic particle inside the box</t>
  </si>
  <si>
    <t>ID=MD&amp;JK for all SCH bags</t>
  </si>
  <si>
    <t>more seeds, one that is extra looks different, like it would be brought inside</t>
  </si>
  <si>
    <t>week?  Lots of ants</t>
  </si>
  <si>
    <t>week?</t>
  </si>
  <si>
    <t>Part of one seed missing</t>
  </si>
  <si>
    <t>Bug in sample, Part of 1 seed missing</t>
  </si>
  <si>
    <t>Bug in sample</t>
  </si>
  <si>
    <t>A lot of empty seed coats left</t>
  </si>
  <si>
    <t>SG&amp;JK</t>
  </si>
  <si>
    <t>Part of seed missing</t>
  </si>
  <si>
    <t>Bug and ant in sample</t>
  </si>
  <si>
    <t>Ant in sample</t>
  </si>
  <si>
    <t>Bug in sample, Part of seeds missing</t>
  </si>
  <si>
    <t>Bug and ant in sample, Part of 1 seed missing</t>
  </si>
  <si>
    <t>2 Bugs in sample</t>
  </si>
  <si>
    <t>2 ants in sample</t>
  </si>
  <si>
    <t>OL&amp;JN&amp;SG</t>
  </si>
  <si>
    <t>A lot of dead leaves and litter present</t>
  </si>
  <si>
    <t>1/2 of  6_1</t>
  </si>
  <si>
    <t>2/2 of  6_1</t>
  </si>
  <si>
    <t>BET</t>
  </si>
  <si>
    <t>plus 1 addtional piece of a Abies alba seed</t>
  </si>
  <si>
    <t>A lot of empty seed coats present</t>
  </si>
  <si>
    <t>Several dead ants in sample</t>
  </si>
  <si>
    <t>Dead ant in sample</t>
  </si>
  <si>
    <t>Bugs &amp; several dead ants in sample</t>
  </si>
  <si>
    <t>Dead bugs in sample</t>
  </si>
  <si>
    <t>Several dead ants in sample, Problem with identifiying 1 Larix seed: Very deconstructed if coat color and structure matched counted as seed</t>
  </si>
  <si>
    <t>Some seeds of different species &amp; a lot of resin</t>
  </si>
  <si>
    <t>A lot of litter</t>
  </si>
  <si>
    <t>Small feces pieces present</t>
  </si>
  <si>
    <t>Lots of empty seed coats</t>
  </si>
  <si>
    <t>Small feces residue present</t>
  </si>
  <si>
    <t>Small feces residue present, a lot of empty seed coats</t>
  </si>
  <si>
    <t>Various dead insects in sample</t>
  </si>
  <si>
    <t>Seed split, 1  part missing</t>
  </si>
  <si>
    <t>Dead bug in sample</t>
  </si>
  <si>
    <t>Dead bug in sample, 1 very small seed</t>
  </si>
  <si>
    <t>1 very small seed</t>
  </si>
  <si>
    <t>1 seed split in half</t>
  </si>
  <si>
    <t>Dead bug in sample, several dead ants</t>
  </si>
  <si>
    <t>A lot of ants and isopods</t>
  </si>
  <si>
    <t>A lot of bug in sample</t>
  </si>
  <si>
    <t>A lot of isopods</t>
  </si>
  <si>
    <t>A lot of empty seed coats</t>
  </si>
  <si>
    <t>A lot of empty leftover seed coats</t>
  </si>
  <si>
    <t>Empty seed coat</t>
  </si>
  <si>
    <t>A lot of dried leaves and litter</t>
  </si>
  <si>
    <t>dead bug</t>
  </si>
  <si>
    <t>Presence of animal dejection</t>
  </si>
  <si>
    <t>1 bee? Found</t>
  </si>
  <si>
    <t>ants</t>
  </si>
  <si>
    <t>4 coats</t>
  </si>
  <si>
    <t>+119</t>
  </si>
  <si>
    <t>2 coats</t>
  </si>
  <si>
    <t>Missing Station 4 data</t>
  </si>
  <si>
    <t xml:space="preserve">Whole section where date and week is wrong </t>
  </si>
  <si>
    <t xml:space="preserve">Too many Box 2 </t>
  </si>
  <si>
    <t>Added Week 1 info</t>
  </si>
  <si>
    <t>Removed Week 3 Station 9 one row</t>
  </si>
  <si>
    <t xml:space="preserve">Problem Week 2 Station 6 and 8 </t>
  </si>
  <si>
    <t>Problem with station 2-3-10</t>
  </si>
  <si>
    <t>Problem Station 6</t>
  </si>
  <si>
    <t xml:space="preserve">Double Station 6 week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</si>
</sst>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2" fillId="0" borderId="1" xfId="0" applyNumberFormat="1" applyFont="1" applyBorder="1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164" fontId="0" fillId="0" borderId="1" xfId="0" applyNumberFormat="1" applyBorder="1" applyProtection="1">
      <protection locked="0"/>
    </xf>
    <xf numFmtId="164" fontId="3" fillId="0" borderId="1" xfId="0" applyNumberFormat="1" applyFont="1" applyBorder="1" applyProtection="1">
      <protection locked="0"/>
    </xf>
    <xf numFmtId="0" fontId="3" fillId="0" borderId="2" xfId="0" applyFont="1" applyBorder="1" applyProtection="1">
      <protection locked="0"/>
    </xf>
    <xf numFmtId="164" fontId="3" fillId="0" borderId="2" xfId="0" applyNumberFormat="1" applyFont="1" applyBorder="1" applyProtection="1">
      <protection locked="0"/>
    </xf>
    <xf numFmtId="164" fontId="3" fillId="0" borderId="3" xfId="0" applyNumberFormat="1" applyFont="1" applyBorder="1" applyProtection="1">
      <protection locked="0"/>
    </xf>
    <xf numFmtId="0" fontId="3" fillId="0" borderId="4" xfId="0" applyFont="1" applyBorder="1" applyProtection="1">
      <protection locked="0"/>
    </xf>
    <xf numFmtId="164" fontId="3" fillId="0" borderId="4" xfId="0" applyNumberFormat="1" applyFont="1" applyBorder="1" applyProtection="1">
      <protection locked="0"/>
    </xf>
    <xf numFmtId="14" fontId="0" fillId="0" borderId="1" xfId="0" applyNumberFormat="1" applyBorder="1" applyProtection="1">
      <protection locked="0"/>
    </xf>
    <xf numFmtId="0" fontId="3" fillId="0" borderId="1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3" borderId="1" xfId="0" applyNumberFormat="1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3" borderId="1" xfId="0" applyFill="1" applyBorder="1"/>
    <xf numFmtId="0" fontId="0" fillId="3" borderId="0" xfId="0" applyFill="1"/>
    <xf numFmtId="0" fontId="3" fillId="3" borderId="1" xfId="0" applyFont="1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4" borderId="0" xfId="0" applyFill="1"/>
    <xf numFmtId="164" fontId="0" fillId="0" borderId="3" xfId="0" applyNumberFormat="1" applyBorder="1" applyProtection="1">
      <protection locked="0"/>
    </xf>
    <xf numFmtId="0" fontId="0" fillId="0" borderId="4" xfId="0" applyBorder="1" applyProtection="1">
      <protection locked="0"/>
    </xf>
    <xf numFmtId="164" fontId="0" fillId="0" borderId="4" xfId="0" applyNumberFormat="1" applyBorder="1" applyProtection="1">
      <protection locked="0"/>
    </xf>
    <xf numFmtId="0" fontId="0" fillId="5" borderId="0" xfId="0" applyFill="1"/>
    <xf numFmtId="0" fontId="0" fillId="5" borderId="1" xfId="0" applyFill="1" applyBorder="1" applyProtection="1">
      <protection locked="0"/>
    </xf>
    <xf numFmtId="164" fontId="0" fillId="0" borderId="1" xfId="0" applyNumberFormat="1" applyFont="1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" xfId="0" applyFont="1" applyBorder="1"/>
    <xf numFmtId="164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left" wrapText="1"/>
      <protection locked="0"/>
    </xf>
    <xf numFmtId="0" fontId="0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0" fillId="3" borderId="1" xfId="0" applyFont="1" applyFill="1" applyBorder="1" applyProtection="1">
      <protection locked="0"/>
    </xf>
    <xf numFmtId="0" fontId="0" fillId="4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24092024_CW.xlsx" TargetMode="External"/><Relationship Id="rId1" Type="http://schemas.openxmlformats.org/officeDocument/2006/relationships/externalLinkPath" Target="SeedSorting_Autumn24_24092024_C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26092024_FL.xlsx" TargetMode="External"/><Relationship Id="rId1" Type="http://schemas.openxmlformats.org/officeDocument/2006/relationships/externalLinkPath" Target="SeedSorting_Autumn24_26092024_F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26022025_CT.xlsx" TargetMode="External"/><Relationship Id="rId1" Type="http://schemas.openxmlformats.org/officeDocument/2006/relationships/externalLinkPath" Target="SeedSorting_Autumn24_26022025_C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25102024_EP.xlsx" TargetMode="External"/><Relationship Id="rId1" Type="http://schemas.openxmlformats.org/officeDocument/2006/relationships/externalLinkPath" Target="SeedSorting_Autumn24_25102024_E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25092024_SG.xlsx" TargetMode="External"/><Relationship Id="rId1" Type="http://schemas.openxmlformats.org/officeDocument/2006/relationships/externalLinkPath" Target="SeedSorting_Autumn24_25092024_SG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24092024_FL.xlsx" TargetMode="External"/><Relationship Id="rId1" Type="http://schemas.openxmlformats.org/officeDocument/2006/relationships/externalLinkPath" Target="SeedSorting_Autumn24_24092024_F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21102024_JK.xlsx" TargetMode="External"/><Relationship Id="rId1" Type="http://schemas.openxmlformats.org/officeDocument/2006/relationships/externalLinkPath" Target="SeedSorting_Autumn24_21102024_JK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21012025_CT.xlsx" TargetMode="External"/><Relationship Id="rId1" Type="http://schemas.openxmlformats.org/officeDocument/2006/relationships/externalLinkPath" Target="SeedSorting_Autumn24_21012025_C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19032025_CT.xlsx" TargetMode="External"/><Relationship Id="rId1" Type="http://schemas.openxmlformats.org/officeDocument/2006/relationships/externalLinkPath" Target="SeedSorting_Autumn24_19032025_C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18022025_CT.xlsx" TargetMode="External"/><Relationship Id="rId1" Type="http://schemas.openxmlformats.org/officeDocument/2006/relationships/externalLinkPath" Target="SeedSorting_Autumn24_18022025_C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16042025_CT.xlsx" TargetMode="External"/><Relationship Id="rId1" Type="http://schemas.openxmlformats.org/officeDocument/2006/relationships/externalLinkPath" Target="SeedSorting_Autumn24_16042025_C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10022025_CT.xlsx" TargetMode="External"/><Relationship Id="rId1" Type="http://schemas.openxmlformats.org/officeDocument/2006/relationships/externalLinkPath" Target="SeedSorting_Autumn24_10022025_CT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06052025_CT.xlsx" TargetMode="External"/><Relationship Id="rId1" Type="http://schemas.openxmlformats.org/officeDocument/2006/relationships/externalLinkPath" Target="SeedSorting_Autumn24_06052025_C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05032025_CT.xlsx" TargetMode="External"/><Relationship Id="rId1" Type="http://schemas.openxmlformats.org/officeDocument/2006/relationships/externalLinkPath" Target="SeedSorting_Autumn24_05032025_C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03102024_FL.xlsx" TargetMode="External"/><Relationship Id="rId1" Type="http://schemas.openxmlformats.org/officeDocument/2006/relationships/externalLinkPath" Target="SeedSorting_Autumn24_03102024_FL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13092024_SG.xlsx" TargetMode="External"/><Relationship Id="rId1" Type="http://schemas.openxmlformats.org/officeDocument/2006/relationships/externalLinkPath" Target="SeedSorting_Autumn24_13092024_SG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18092024_MD.xlsx" TargetMode="External"/><Relationship Id="rId1" Type="http://schemas.openxmlformats.org/officeDocument/2006/relationships/externalLinkPath" Target="SeedSorting_Autumn24_18092024_M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erret\polybox%20-%20Eleonore%20Perret%20(eleonore.perret@usys.ethz.ch)@polybox.ethz.ch\phD\PhD\R\Seed_predation\Seed_predation_CH\Seed_predation_CH_analysis\Data\SeedSorting_Autumn24_01102024_SG.xlsx" TargetMode="External"/><Relationship Id="rId1" Type="http://schemas.openxmlformats.org/officeDocument/2006/relationships/externalLinkPath" Target="SeedSorting_Autumn24_01102024_S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7">
          <cell r="A67" t="str">
            <v>Abies alba</v>
          </cell>
          <cell r="B67">
            <v>25</v>
          </cell>
        </row>
        <row r="68">
          <cell r="A68" t="str">
            <v>Fagus sylvatica</v>
          </cell>
          <cell r="B68">
            <v>5</v>
          </cell>
        </row>
        <row r="69">
          <cell r="A69" t="str">
            <v>Tillia cordata</v>
          </cell>
          <cell r="B69">
            <v>35</v>
          </cell>
        </row>
        <row r="70">
          <cell r="A70" t="str">
            <v>Picea abies</v>
          </cell>
          <cell r="B70">
            <v>120</v>
          </cell>
        </row>
        <row r="71">
          <cell r="A71" t="str">
            <v>Acer pseudoplatanus</v>
          </cell>
          <cell r="B71">
            <v>9</v>
          </cell>
        </row>
        <row r="72">
          <cell r="A72" t="str">
            <v>Pinus cembra</v>
          </cell>
          <cell r="B72">
            <v>3</v>
          </cell>
        </row>
        <row r="73">
          <cell r="A73" t="str">
            <v>Larix decidua</v>
          </cell>
          <cell r="B73">
            <v>120</v>
          </cell>
        </row>
        <row r="74">
          <cell r="A74" t="str">
            <v>Abies alba</v>
          </cell>
          <cell r="B74">
            <v>25</v>
          </cell>
        </row>
        <row r="75">
          <cell r="A75" t="str">
            <v>Pinus mugo</v>
          </cell>
          <cell r="B75">
            <v>180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7">
          <cell r="A67" t="str">
            <v>Abies alba</v>
          </cell>
          <cell r="B67">
            <v>25</v>
          </cell>
        </row>
        <row r="68">
          <cell r="A68" t="str">
            <v>Fagus sylvatica</v>
          </cell>
          <cell r="B68">
            <v>5</v>
          </cell>
        </row>
        <row r="69">
          <cell r="A69" t="str">
            <v>Tillia cordata</v>
          </cell>
          <cell r="B69">
            <v>35</v>
          </cell>
        </row>
        <row r="70">
          <cell r="A70" t="str">
            <v>Picea abies</v>
          </cell>
          <cell r="B70">
            <v>120</v>
          </cell>
        </row>
        <row r="71">
          <cell r="A71" t="str">
            <v>Acer pseudoplatanus</v>
          </cell>
          <cell r="B71">
            <v>9</v>
          </cell>
        </row>
        <row r="72">
          <cell r="A72" t="str">
            <v>Pinus cembra</v>
          </cell>
          <cell r="B72">
            <v>3</v>
          </cell>
        </row>
        <row r="73">
          <cell r="A73" t="str">
            <v>Larix decidua</v>
          </cell>
          <cell r="B73">
            <v>120</v>
          </cell>
        </row>
        <row r="74">
          <cell r="A74" t="str">
            <v>Abies alba</v>
          </cell>
          <cell r="B74">
            <v>25</v>
          </cell>
        </row>
        <row r="75">
          <cell r="A75" t="str">
            <v>Pinus mugo</v>
          </cell>
          <cell r="B75">
            <v>180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7">
          <cell r="A67" t="str">
            <v>Abies alba</v>
          </cell>
          <cell r="B67">
            <v>25</v>
          </cell>
        </row>
        <row r="68">
          <cell r="A68" t="str">
            <v>Fagus sylvatica</v>
          </cell>
          <cell r="B68">
            <v>5</v>
          </cell>
        </row>
        <row r="69">
          <cell r="A69" t="str">
            <v>Tillia cordata</v>
          </cell>
          <cell r="B69">
            <v>35</v>
          </cell>
        </row>
        <row r="70">
          <cell r="A70" t="str">
            <v>Picea abies</v>
          </cell>
          <cell r="B70">
            <v>120</v>
          </cell>
        </row>
        <row r="71">
          <cell r="A71" t="str">
            <v>Acer pseudoplatanus</v>
          </cell>
          <cell r="B71">
            <v>9</v>
          </cell>
        </row>
        <row r="72">
          <cell r="A72" t="str">
            <v>Pinus cembra</v>
          </cell>
          <cell r="B72">
            <v>3</v>
          </cell>
        </row>
        <row r="73">
          <cell r="A73" t="str">
            <v>Larix decidua</v>
          </cell>
          <cell r="B73">
            <v>120</v>
          </cell>
        </row>
        <row r="74">
          <cell r="A74" t="str">
            <v>Abies alba</v>
          </cell>
          <cell r="B74">
            <v>25</v>
          </cell>
        </row>
        <row r="75">
          <cell r="A75" t="str">
            <v>Pinus mugo</v>
          </cell>
          <cell r="B75">
            <v>180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7">
          <cell r="A67" t="str">
            <v>Abies alba</v>
          </cell>
          <cell r="B67">
            <v>25</v>
          </cell>
        </row>
        <row r="68">
          <cell r="A68" t="str">
            <v>Fagus sylvatica</v>
          </cell>
          <cell r="B68">
            <v>5</v>
          </cell>
        </row>
        <row r="69">
          <cell r="A69" t="str">
            <v>Tillia cordata</v>
          </cell>
          <cell r="B69">
            <v>35</v>
          </cell>
        </row>
        <row r="70">
          <cell r="A70" t="str">
            <v>Picea abies</v>
          </cell>
          <cell r="B70">
            <v>120</v>
          </cell>
        </row>
        <row r="71">
          <cell r="A71" t="str">
            <v>Acer pseudoplatanus</v>
          </cell>
          <cell r="B71">
            <v>9</v>
          </cell>
        </row>
        <row r="72">
          <cell r="A72" t="str">
            <v>Pinus cembra</v>
          </cell>
          <cell r="B72">
            <v>3</v>
          </cell>
        </row>
        <row r="73">
          <cell r="A73" t="str">
            <v>Larix decidua</v>
          </cell>
          <cell r="B73">
            <v>120</v>
          </cell>
        </row>
        <row r="74">
          <cell r="A74" t="str">
            <v>Abies alba</v>
          </cell>
          <cell r="B74">
            <v>25</v>
          </cell>
        </row>
        <row r="75">
          <cell r="A75" t="str">
            <v>Pinus mugo</v>
          </cell>
          <cell r="B75">
            <v>180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7">
          <cell r="A67" t="str">
            <v>Abies alba</v>
          </cell>
          <cell r="B67">
            <v>25</v>
          </cell>
        </row>
        <row r="68">
          <cell r="A68" t="str">
            <v>Fagus sylvatica</v>
          </cell>
          <cell r="B68">
            <v>5</v>
          </cell>
        </row>
        <row r="69">
          <cell r="A69" t="str">
            <v>Tillia cordata</v>
          </cell>
          <cell r="B69">
            <v>35</v>
          </cell>
        </row>
        <row r="70">
          <cell r="A70" t="str">
            <v>Picea abies</v>
          </cell>
          <cell r="B70">
            <v>120</v>
          </cell>
        </row>
        <row r="71">
          <cell r="A71" t="str">
            <v>Acer pseudoplatanus</v>
          </cell>
          <cell r="B71">
            <v>9</v>
          </cell>
        </row>
        <row r="72">
          <cell r="A72" t="str">
            <v>Pinus cembra</v>
          </cell>
          <cell r="B72">
            <v>3</v>
          </cell>
        </row>
        <row r="73">
          <cell r="A73" t="str">
            <v>Larix decidua</v>
          </cell>
          <cell r="B73">
            <v>120</v>
          </cell>
        </row>
        <row r="74">
          <cell r="A74" t="str">
            <v>Abies alba</v>
          </cell>
          <cell r="B74">
            <v>25</v>
          </cell>
        </row>
        <row r="75">
          <cell r="A75" t="str">
            <v>Pinus mugo</v>
          </cell>
          <cell r="B75">
            <v>180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7">
          <cell r="A67" t="str">
            <v>Abies alba</v>
          </cell>
          <cell r="B67">
            <v>25</v>
          </cell>
        </row>
        <row r="68">
          <cell r="A68" t="str">
            <v>Fagus sylvatica</v>
          </cell>
          <cell r="B68">
            <v>5</v>
          </cell>
        </row>
        <row r="69">
          <cell r="A69" t="str">
            <v>Tillia cordata</v>
          </cell>
          <cell r="B69">
            <v>35</v>
          </cell>
        </row>
        <row r="70">
          <cell r="A70" t="str">
            <v>Picea abies</v>
          </cell>
          <cell r="B70">
            <v>120</v>
          </cell>
        </row>
        <row r="71">
          <cell r="A71" t="str">
            <v>Acer pseudoplatanus</v>
          </cell>
          <cell r="B71">
            <v>9</v>
          </cell>
        </row>
        <row r="72">
          <cell r="A72" t="str">
            <v>Pinus cembra</v>
          </cell>
          <cell r="B72">
            <v>3</v>
          </cell>
        </row>
        <row r="73">
          <cell r="A73" t="str">
            <v>Larix decidua</v>
          </cell>
          <cell r="B73">
            <v>120</v>
          </cell>
        </row>
        <row r="74">
          <cell r="A74" t="str">
            <v>Abies alba</v>
          </cell>
          <cell r="B74">
            <v>25</v>
          </cell>
        </row>
        <row r="75">
          <cell r="A75" t="str">
            <v>Pinus mugo</v>
          </cell>
          <cell r="B75">
            <v>180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7">
          <cell r="A67" t="str">
            <v>Abies alba</v>
          </cell>
          <cell r="B67">
            <v>25</v>
          </cell>
        </row>
        <row r="68">
          <cell r="A68" t="str">
            <v>Fagus sylvatica</v>
          </cell>
          <cell r="B68">
            <v>5</v>
          </cell>
        </row>
        <row r="69">
          <cell r="A69" t="str">
            <v>Tillia cordata</v>
          </cell>
          <cell r="B69">
            <v>35</v>
          </cell>
        </row>
        <row r="70">
          <cell r="A70" t="str">
            <v>Picea abies</v>
          </cell>
          <cell r="B70">
            <v>120</v>
          </cell>
        </row>
        <row r="71">
          <cell r="A71" t="str">
            <v>Acer pseudoplatanus</v>
          </cell>
          <cell r="B71">
            <v>9</v>
          </cell>
        </row>
        <row r="72">
          <cell r="A72" t="str">
            <v>Pinus cembra</v>
          </cell>
          <cell r="B72">
            <v>3</v>
          </cell>
        </row>
        <row r="73">
          <cell r="A73" t="str">
            <v>Larix decidua</v>
          </cell>
          <cell r="B73">
            <v>120</v>
          </cell>
        </row>
        <row r="74">
          <cell r="A74" t="str">
            <v>Abies alba</v>
          </cell>
          <cell r="B74">
            <v>25</v>
          </cell>
        </row>
        <row r="75">
          <cell r="A75" t="str">
            <v>Pinus mugo</v>
          </cell>
          <cell r="B75">
            <v>180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 refreshError="1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egend"/>
    </sheetNames>
    <sheetDataSet>
      <sheetData sheetId="0"/>
      <sheetData sheetId="1">
        <row r="66">
          <cell r="A66" t="str">
            <v>Abies alba</v>
          </cell>
          <cell r="B66">
            <v>25</v>
          </cell>
        </row>
        <row r="67">
          <cell r="A67" t="str">
            <v>Fagus sylvatica</v>
          </cell>
          <cell r="B67">
            <v>5</v>
          </cell>
        </row>
        <row r="68">
          <cell r="A68" t="str">
            <v>Tillia cordata</v>
          </cell>
          <cell r="B68">
            <v>35</v>
          </cell>
        </row>
        <row r="69">
          <cell r="A69" t="str">
            <v>Picea abies</v>
          </cell>
          <cell r="B69">
            <v>120</v>
          </cell>
        </row>
        <row r="70">
          <cell r="A70" t="str">
            <v>Acer pseudoplatanus</v>
          </cell>
          <cell r="B70">
            <v>9</v>
          </cell>
        </row>
        <row r="71">
          <cell r="A71" t="str">
            <v>Pinus cembra</v>
          </cell>
          <cell r="B71">
            <v>3</v>
          </cell>
        </row>
        <row r="72">
          <cell r="A72" t="str">
            <v>Larix decidua</v>
          </cell>
          <cell r="B72">
            <v>120</v>
          </cell>
        </row>
        <row r="73">
          <cell r="A73" t="str">
            <v>Abies alba</v>
          </cell>
          <cell r="B73">
            <v>25</v>
          </cell>
        </row>
        <row r="74">
          <cell r="A74" t="str">
            <v>Pinus mugo</v>
          </cell>
          <cell r="B74">
            <v>180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erret  Eléonore" id="{5B51EF7E-E378-407C-8C6F-43E6025FE168}" userId="S::eperret@ethz.ch::481923b3-1f34-4c09-9499-8a1a68b3fbec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0" dT="2025-05-26T14:08:07.34" personId="{5B51EF7E-E378-407C-8C6F-43E6025FE168}" id="{07B96A4A-1B3B-4914-A636-A9BBEA00E072}">
    <text xml:space="preserve">Problem
</text>
  </threadedComment>
  <threadedComment ref="D125" dT="2025-05-26T14:09:12.96" personId="{5B51EF7E-E378-407C-8C6F-43E6025FE168}" id="{2BF68100-4D6D-40E1-A4C0-FCA06ADE781E}">
    <text>Whole row wrong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95" dT="2025-05-26T14:40:28.14" personId="{5B51EF7E-E378-407C-8C6F-43E6025FE168}" id="{DE703BB6-04CE-42F9-ADBB-0C6445A84204}">
    <text>This is probably 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0A91-B67D-4FA2-8090-3E7B810B3DA3}">
  <dimension ref="A1:Q121"/>
  <sheetViews>
    <sheetView workbookViewId="0">
      <selection activeCell="O121" sqref="A1:O121"/>
    </sheetView>
  </sheetViews>
  <sheetFormatPr baseColWidth="10" defaultRowHeight="14.25" x14ac:dyDescent="0.45"/>
  <sheetData>
    <row r="1" spans="1:17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7" ht="14" customHeight="1" x14ac:dyDescent="0.45">
      <c r="A2" s="7">
        <v>45575</v>
      </c>
      <c r="B2" s="5" t="s">
        <v>68</v>
      </c>
      <c r="C2" s="5" t="s">
        <v>90</v>
      </c>
      <c r="D2" s="5">
        <v>1</v>
      </c>
      <c r="E2" s="5">
        <v>1</v>
      </c>
      <c r="F2" s="5">
        <v>2</v>
      </c>
      <c r="G2" s="7">
        <v>45706</v>
      </c>
      <c r="H2" s="5" t="s">
        <v>91</v>
      </c>
      <c r="I2" s="5">
        <v>5</v>
      </c>
      <c r="J2" s="5" t="s">
        <v>60</v>
      </c>
      <c r="K2" s="6">
        <f>IF(J2=[3]Legend!$A$67,[3]Legend!$B$67,(IF(J2=[3]Legend!$A$68,[3]Legend!$B$68,IF(J2=[3]Legend!$A$69, [3]Legend!$B$69, IF(J2=[3]Legend!$A$70, [3]Legend!$B$70, IF(J2=[3]Legend!$A$71, [3]Legend!$B$71, IF(J2=[3]Legend!$A$72, [3]Legend!$B$72, IF(J2=[3]Legend!$A$73, [3]Legend!$B$73, (IF(J2=[3]Legend!$A$74, [3]Legend!$B$74, IF(J2=[3]Legend!$A$75, [3]Legend!$B$75, "")))))))))))</f>
        <v>25</v>
      </c>
      <c r="L2" s="5">
        <v>25</v>
      </c>
      <c r="M2" s="5">
        <v>0</v>
      </c>
      <c r="N2" s="5"/>
      <c r="O2" s="5"/>
      <c r="Q2" s="26" t="s">
        <v>173</v>
      </c>
    </row>
    <row r="3" spans="1:17" ht="14" customHeight="1" x14ac:dyDescent="0.45">
      <c r="A3" s="7">
        <v>45575</v>
      </c>
      <c r="B3" s="5" t="s">
        <v>68</v>
      </c>
      <c r="C3" s="5" t="s">
        <v>90</v>
      </c>
      <c r="D3" s="5">
        <v>1</v>
      </c>
      <c r="E3" s="5">
        <v>1</v>
      </c>
      <c r="F3" s="5">
        <v>2</v>
      </c>
      <c r="G3" s="7">
        <v>45706</v>
      </c>
      <c r="H3" s="5" t="s">
        <v>91</v>
      </c>
      <c r="I3" s="5">
        <v>5</v>
      </c>
      <c r="J3" s="5" t="s">
        <v>69</v>
      </c>
      <c r="K3" s="6">
        <f>IF(J3=[3]Legend!$A$67,[3]Legend!$B$67,(IF(J3=[3]Legend!$A$68,[3]Legend!$B$68,IF(J3=[3]Legend!$A$69, [3]Legend!$B$69, IF(J3=[3]Legend!$A$70, [3]Legend!$B$70, IF(J3=[3]Legend!$A$71, [3]Legend!$B$71, IF(J3=[3]Legend!$A$72, [3]Legend!$B$72, IF(J3=[3]Legend!$A$73, [3]Legend!$B$73, (IF(J3=[3]Legend!$A$74, [3]Legend!$B$74, IF(J3=[3]Legend!$A$75, [3]Legend!$B$75, "")))))))))))</f>
        <v>120</v>
      </c>
      <c r="L3" s="5">
        <v>120</v>
      </c>
      <c r="M3" s="5">
        <v>0</v>
      </c>
      <c r="N3" s="5"/>
      <c r="O3" s="5"/>
    </row>
    <row r="4" spans="1:17" ht="14" customHeight="1" x14ac:dyDescent="0.45">
      <c r="A4" s="7">
        <v>45575</v>
      </c>
      <c r="B4" s="5" t="s">
        <v>68</v>
      </c>
      <c r="C4" s="5" t="s">
        <v>90</v>
      </c>
      <c r="D4" s="5">
        <v>1</v>
      </c>
      <c r="E4" s="5">
        <v>1</v>
      </c>
      <c r="F4" s="5">
        <v>1</v>
      </c>
      <c r="G4" s="7">
        <v>45705</v>
      </c>
      <c r="H4" s="5" t="s">
        <v>91</v>
      </c>
      <c r="I4" s="5">
        <v>5</v>
      </c>
      <c r="J4" s="5" t="s">
        <v>60</v>
      </c>
      <c r="K4" s="6">
        <f>IF(J4=[10]Legend!$A$67,[10]Legend!$B$67,(IF(J4=[10]Legend!$A$68,[10]Legend!$B$68,IF(J4=[10]Legend!$A$69, [10]Legend!$B$69, IF(J4=[10]Legend!$A$70, [10]Legend!$B$70, IF(J4=[10]Legend!$A$71, [10]Legend!$B$71, IF(J4=[10]Legend!$A$72, [10]Legend!$B$72, IF(J4=[10]Legend!$A$73, [10]Legend!$B$73, (IF(J4=[10]Legend!$A$74, [10]Legend!$B$74, IF(J4=[10]Legend!$A$75, [10]Legend!$B$75, "")))))))))))</f>
        <v>25</v>
      </c>
      <c r="L4" s="5">
        <v>24</v>
      </c>
      <c r="M4" s="5">
        <v>1</v>
      </c>
      <c r="N4" s="5" t="s">
        <v>21</v>
      </c>
      <c r="O4" s="5"/>
    </row>
    <row r="5" spans="1:17" ht="14" customHeight="1" x14ac:dyDescent="0.45">
      <c r="A5" s="7">
        <v>45575</v>
      </c>
      <c r="B5" s="5" t="s">
        <v>68</v>
      </c>
      <c r="C5" s="5" t="s">
        <v>90</v>
      </c>
      <c r="D5" s="5">
        <v>1</v>
      </c>
      <c r="E5" s="5">
        <v>1</v>
      </c>
      <c r="F5" s="5">
        <v>1</v>
      </c>
      <c r="G5" s="7">
        <v>45705</v>
      </c>
      <c r="H5" s="5" t="s">
        <v>91</v>
      </c>
      <c r="I5" s="5">
        <v>5</v>
      </c>
      <c r="J5" s="5" t="s">
        <v>69</v>
      </c>
      <c r="K5" s="6">
        <f>IF(J5=[10]Legend!$A$67,[10]Legend!$B$67,(IF(J5=[10]Legend!$A$68,[10]Legend!$B$68,IF(J5=[10]Legend!$A$69, [10]Legend!$B$69, IF(J5=[10]Legend!$A$70, [10]Legend!$B$70, IF(J5=[10]Legend!$A$71, [10]Legend!$B$71, IF(J5=[10]Legend!$A$72, [10]Legend!$B$72, IF(J5=[10]Legend!$A$73, [10]Legend!$B$73, (IF(J5=[10]Legend!$A$74, [10]Legend!$B$74, IF(J5=[10]Legend!$A$75, [10]Legend!$B$75, "")))))))))))</f>
        <v>120</v>
      </c>
      <c r="L5" s="5">
        <v>120</v>
      </c>
      <c r="M5" s="5">
        <v>3</v>
      </c>
      <c r="N5" s="5" t="s">
        <v>30</v>
      </c>
      <c r="O5" s="5"/>
    </row>
    <row r="6" spans="1:17" ht="14" customHeight="1" x14ac:dyDescent="0.45">
      <c r="A6" s="7">
        <v>45582</v>
      </c>
      <c r="B6" s="5" t="s">
        <v>68</v>
      </c>
      <c r="C6" s="5" t="s">
        <v>124</v>
      </c>
      <c r="D6" s="5">
        <v>2</v>
      </c>
      <c r="E6" s="5">
        <v>1</v>
      </c>
      <c r="F6" s="5">
        <v>1</v>
      </c>
      <c r="G6" s="7">
        <v>45677</v>
      </c>
      <c r="H6" s="5" t="s">
        <v>91</v>
      </c>
      <c r="I6" s="5">
        <v>5</v>
      </c>
      <c r="J6" s="5" t="s">
        <v>60</v>
      </c>
      <c r="K6" s="6">
        <f>IF(J6=[8]Legend!$A$66,[8]Legend!$B$66,(IF(J6=[8]Legend!$A$67,[8]Legend!$B$67,IF(J6=[8]Legend!$A$68, [8]Legend!$B$68, IF(J6=[8]Legend!$A$69, [8]Legend!$B$69, IF(J6=[8]Legend!$A$70, [8]Legend!$B$70, IF(J6=[8]Legend!$A$71, [8]Legend!$B$71, IF(J6=[8]Legend!$A$72, [8]Legend!$B$72, (IF(J6=[8]Legend!$A$73, [8]Legend!$B$73, IF(J6=[8]Legend!$A$74, [8]Legend!$B$74, "")))))))))))</f>
        <v>25</v>
      </c>
      <c r="L6" s="5">
        <v>25</v>
      </c>
      <c r="M6" s="5">
        <v>2</v>
      </c>
      <c r="N6" s="5" t="s">
        <v>23</v>
      </c>
      <c r="O6" s="5"/>
    </row>
    <row r="7" spans="1:17" ht="14" customHeight="1" x14ac:dyDescent="0.45">
      <c r="A7" s="7">
        <v>45582</v>
      </c>
      <c r="B7" s="5" t="s">
        <v>68</v>
      </c>
      <c r="C7" s="5" t="s">
        <v>124</v>
      </c>
      <c r="D7" s="5">
        <v>2</v>
      </c>
      <c r="E7" s="5">
        <v>1</v>
      </c>
      <c r="F7" s="5">
        <v>1</v>
      </c>
      <c r="G7" s="7">
        <v>45677</v>
      </c>
      <c r="H7" s="5" t="s">
        <v>91</v>
      </c>
      <c r="I7" s="5">
        <v>5</v>
      </c>
      <c r="J7" s="5" t="s">
        <v>69</v>
      </c>
      <c r="K7" s="6">
        <f>IF(J7=[8]Legend!$A$66,[8]Legend!$B$66,(IF(J7=[8]Legend!$A$67,[8]Legend!$B$67,IF(J7=[8]Legend!$A$68, [8]Legend!$B$68, IF(J7=[8]Legend!$A$69, [8]Legend!$B$69, IF(J7=[8]Legend!$A$70, [8]Legend!$B$70, IF(J7=[8]Legend!$A$71, [8]Legend!$B$71, IF(J7=[8]Legend!$A$72, [8]Legend!$B$72, (IF(J7=[8]Legend!$A$73, [8]Legend!$B$73, IF(J7=[8]Legend!$A$74, [8]Legend!$B$74, "")))))))))))</f>
        <v>120</v>
      </c>
      <c r="L7" s="5">
        <v>120</v>
      </c>
      <c r="M7" s="5">
        <v>1</v>
      </c>
      <c r="N7" s="5" t="s">
        <v>21</v>
      </c>
      <c r="O7" s="5" t="s">
        <v>125</v>
      </c>
    </row>
    <row r="8" spans="1:17" ht="14" customHeight="1" x14ac:dyDescent="0.45">
      <c r="A8" s="7">
        <v>45582</v>
      </c>
      <c r="B8" s="5" t="s">
        <v>68</v>
      </c>
      <c r="C8" s="5" t="s">
        <v>124</v>
      </c>
      <c r="D8" s="5">
        <v>2</v>
      </c>
      <c r="E8" s="5">
        <v>1</v>
      </c>
      <c r="F8" s="5">
        <v>2</v>
      </c>
      <c r="G8" s="7">
        <v>45677</v>
      </c>
      <c r="H8" s="5" t="s">
        <v>91</v>
      </c>
      <c r="I8" s="5">
        <v>5</v>
      </c>
      <c r="J8" s="5" t="s">
        <v>60</v>
      </c>
      <c r="K8" s="6">
        <f>IF(J8=[8]Legend!$A$66,[8]Legend!$B$66,(IF(J8=[8]Legend!$A$67,[8]Legend!$B$67,IF(J8=[8]Legend!$A$68, [8]Legend!$B$68, IF(J8=[8]Legend!$A$69, [8]Legend!$B$69, IF(J8=[8]Legend!$A$70, [8]Legend!$B$70, IF(J8=[8]Legend!$A$71, [8]Legend!$B$71, IF(J8=[8]Legend!$A$72, [8]Legend!$B$72, (IF(J8=[8]Legend!$A$73, [8]Legend!$B$73, IF(J8=[8]Legend!$A$74, [8]Legend!$B$74, "")))))))))))</f>
        <v>25</v>
      </c>
      <c r="L8" s="5">
        <v>25</v>
      </c>
      <c r="M8" s="5">
        <v>2</v>
      </c>
      <c r="N8" s="5" t="s">
        <v>30</v>
      </c>
      <c r="O8" s="5" t="s">
        <v>127</v>
      </c>
    </row>
    <row r="9" spans="1:17" ht="14" customHeight="1" x14ac:dyDescent="0.45">
      <c r="A9" s="7">
        <v>45582</v>
      </c>
      <c r="B9" s="5" t="s">
        <v>68</v>
      </c>
      <c r="C9" s="5" t="s">
        <v>124</v>
      </c>
      <c r="D9" s="5">
        <v>2</v>
      </c>
      <c r="E9" s="5">
        <v>1</v>
      </c>
      <c r="F9" s="5">
        <v>2</v>
      </c>
      <c r="G9" s="7">
        <v>45677</v>
      </c>
      <c r="H9" s="5" t="s">
        <v>91</v>
      </c>
      <c r="I9" s="5">
        <v>5</v>
      </c>
      <c r="J9" s="5" t="s">
        <v>69</v>
      </c>
      <c r="K9" s="6">
        <f>IF(J9=[8]Legend!$A$66,[8]Legend!$B$66,(IF(J9=[8]Legend!$A$67,[8]Legend!$B$67,IF(J9=[8]Legend!$A$68, [8]Legend!$B$68, IF(J9=[8]Legend!$A$69, [8]Legend!$B$69, IF(J9=[8]Legend!$A$70, [8]Legend!$B$70, IF(J9=[8]Legend!$A$71, [8]Legend!$B$71, IF(J9=[8]Legend!$A$72, [8]Legend!$B$72, (IF(J9=[8]Legend!$A$73, [8]Legend!$B$73, IF(J9=[8]Legend!$A$74, [8]Legend!$B$74, "")))))))))))</f>
        <v>120</v>
      </c>
      <c r="L9" s="5">
        <v>120</v>
      </c>
      <c r="M9" s="5">
        <v>0</v>
      </c>
      <c r="N9" s="5"/>
      <c r="O9" s="5" t="s">
        <v>127</v>
      </c>
    </row>
    <row r="10" spans="1:17" ht="14" customHeight="1" x14ac:dyDescent="0.45">
      <c r="A10" s="7">
        <v>45589</v>
      </c>
      <c r="B10" s="5" t="s">
        <v>68</v>
      </c>
      <c r="C10" s="5" t="s">
        <v>16</v>
      </c>
      <c r="D10" s="5">
        <v>3</v>
      </c>
      <c r="E10" s="5">
        <v>1</v>
      </c>
      <c r="F10" s="5">
        <v>1</v>
      </c>
      <c r="G10" s="7">
        <v>45595</v>
      </c>
      <c r="H10" s="5" t="s">
        <v>17</v>
      </c>
      <c r="I10" s="5">
        <v>5</v>
      </c>
      <c r="J10" s="5" t="s">
        <v>60</v>
      </c>
      <c r="K10" s="6">
        <f>IF(J10=[1]Legend!$A$66,[1]Legend!$B$66,(IF(J10=[1]Legend!$A$67,[1]Legend!$B$67,IF(J10=[1]Legend!$A$68, [1]Legend!$B$68, IF(J10=[1]Legend!$A$69, [1]Legend!$B$69, IF(J10=[1]Legend!$A$70, [1]Legend!$B$70, IF(J10=[1]Legend!$A$71, [1]Legend!$B$71, IF(J10=[1]Legend!$A$72, [1]Legend!$B$72, (IF(J10=[1]Legend!$A$73, [1]Legend!$B$73, IF(J10=[1]Legend!$A$74, [1]Legend!$B$74, "")))))))))))</f>
        <v>25</v>
      </c>
      <c r="L10" s="5">
        <v>25</v>
      </c>
      <c r="M10" s="5">
        <v>1</v>
      </c>
      <c r="N10" s="5" t="s">
        <v>30</v>
      </c>
      <c r="O10" s="5"/>
    </row>
    <row r="11" spans="1:17" ht="14" customHeight="1" x14ac:dyDescent="0.45">
      <c r="A11" s="7">
        <v>45589</v>
      </c>
      <c r="B11" s="5" t="s">
        <v>68</v>
      </c>
      <c r="C11" s="5" t="s">
        <v>16</v>
      </c>
      <c r="D11" s="5">
        <v>3</v>
      </c>
      <c r="E11" s="5">
        <v>1</v>
      </c>
      <c r="F11" s="5">
        <v>1</v>
      </c>
      <c r="G11" s="7">
        <v>45595</v>
      </c>
      <c r="H11" s="5" t="s">
        <v>17</v>
      </c>
      <c r="I11" s="5">
        <v>5</v>
      </c>
      <c r="J11" s="5" t="s">
        <v>69</v>
      </c>
      <c r="K11" s="6">
        <f>IF(J11=[1]Legend!$A$66,[1]Legend!$B$66,(IF(J11=[1]Legend!$A$67,[1]Legend!$B$67,IF(J11=[1]Legend!$A$68, [1]Legend!$B$68, IF(J11=[1]Legend!$A$69, [1]Legend!$B$69, IF(J11=[1]Legend!$A$70, [1]Legend!$B$70, IF(J11=[1]Legend!$A$71, [1]Legend!$B$71, IF(J11=[1]Legend!$A$72, [1]Legend!$B$72, (IF(J11=[1]Legend!$A$73, [1]Legend!$B$73, IF(J11=[1]Legend!$A$74, [1]Legend!$B$74, "")))))))))))</f>
        <v>120</v>
      </c>
      <c r="L11" s="5">
        <v>120</v>
      </c>
      <c r="M11" s="5"/>
      <c r="N11" s="5"/>
      <c r="O11" s="5"/>
    </row>
    <row r="12" spans="1:17" ht="14" customHeight="1" x14ac:dyDescent="0.45">
      <c r="A12" s="7">
        <v>45589</v>
      </c>
      <c r="B12" s="5" t="s">
        <v>68</v>
      </c>
      <c r="C12" s="5" t="s">
        <v>16</v>
      </c>
      <c r="D12" s="5">
        <v>3</v>
      </c>
      <c r="E12" s="5">
        <v>1</v>
      </c>
      <c r="F12" s="5">
        <v>2</v>
      </c>
      <c r="G12" s="7">
        <v>45595</v>
      </c>
      <c r="H12" s="5" t="s">
        <v>17</v>
      </c>
      <c r="I12" s="5">
        <v>5</v>
      </c>
      <c r="J12" s="5" t="s">
        <v>60</v>
      </c>
      <c r="K12" s="6">
        <f>IF(J12=[1]Legend!$A$66,[1]Legend!$B$66,(IF(J12=[1]Legend!$A$67,[1]Legend!$B$67,IF(J12=[1]Legend!$A$68, [1]Legend!$B$68, IF(J12=[1]Legend!$A$69, [1]Legend!$B$69, IF(J12=[1]Legend!$A$70, [1]Legend!$B$70, IF(J12=[1]Legend!$A$71, [1]Legend!$B$71, IF(J12=[1]Legend!$A$72, [1]Legend!$B$72, (IF(J12=[1]Legend!$A$73, [1]Legend!$B$73, IF(J12=[1]Legend!$A$74, [1]Legend!$B$74, "")))))))))))</f>
        <v>25</v>
      </c>
      <c r="L12" s="5">
        <v>25</v>
      </c>
      <c r="M12" s="5"/>
      <c r="N12" s="5"/>
      <c r="O12" s="5" t="s">
        <v>70</v>
      </c>
    </row>
    <row r="13" spans="1:17" ht="14" customHeight="1" x14ac:dyDescent="0.45">
      <c r="A13" s="7">
        <v>45589</v>
      </c>
      <c r="B13" s="5" t="s">
        <v>68</v>
      </c>
      <c r="C13" s="5" t="s">
        <v>16</v>
      </c>
      <c r="D13" s="5">
        <v>3</v>
      </c>
      <c r="E13" s="5">
        <v>1</v>
      </c>
      <c r="F13" s="5">
        <v>2</v>
      </c>
      <c r="G13" s="7">
        <v>45595</v>
      </c>
      <c r="H13" s="5" t="s">
        <v>17</v>
      </c>
      <c r="I13" s="5">
        <v>5</v>
      </c>
      <c r="J13" s="5" t="s">
        <v>69</v>
      </c>
      <c r="K13" s="6">
        <f>IF(J13=[1]Legend!$A$66,[1]Legend!$B$66,(IF(J13=[1]Legend!$A$67,[1]Legend!$B$67,IF(J13=[1]Legend!$A$68, [1]Legend!$B$68, IF(J13=[1]Legend!$A$69, [1]Legend!$B$69, IF(J13=[1]Legend!$A$70, [1]Legend!$B$70, IF(J13=[1]Legend!$A$71, [1]Legend!$B$71, IF(J13=[1]Legend!$A$72, [1]Legend!$B$72, (IF(J13=[1]Legend!$A$73, [1]Legend!$B$73, IF(J13=[1]Legend!$A$74, [1]Legend!$B$74, "")))))))))))</f>
        <v>120</v>
      </c>
      <c r="L13" s="5">
        <v>120</v>
      </c>
      <c r="M13" s="5"/>
      <c r="N13" s="5"/>
      <c r="O13" s="5"/>
    </row>
    <row r="14" spans="1:17" ht="14" customHeight="1" x14ac:dyDescent="0.45">
      <c r="A14" s="7">
        <v>45575</v>
      </c>
      <c r="B14" s="5" t="s">
        <v>68</v>
      </c>
      <c r="C14" s="5" t="s">
        <v>90</v>
      </c>
      <c r="D14" s="5">
        <v>1</v>
      </c>
      <c r="E14" s="5">
        <v>2</v>
      </c>
      <c r="F14" s="5">
        <v>2</v>
      </c>
      <c r="G14" s="7">
        <v>45706</v>
      </c>
      <c r="H14" s="5" t="s">
        <v>91</v>
      </c>
      <c r="I14" s="5">
        <v>5</v>
      </c>
      <c r="J14" s="5" t="s">
        <v>60</v>
      </c>
      <c r="K14" s="6">
        <f>IF(J14=[3]Legend!$A$67,[3]Legend!$B$67,(IF(J14=[3]Legend!$A$68,[3]Legend!$B$68,IF(J14=[3]Legend!$A$69, [3]Legend!$B$69, IF(J14=[3]Legend!$A$70, [3]Legend!$B$70, IF(J14=[3]Legend!$A$71, [3]Legend!$B$71, IF(J14=[3]Legend!$A$72, [3]Legend!$B$72, IF(J14=[3]Legend!$A$73, [3]Legend!$B$73, (IF(J14=[3]Legend!$A$74, [3]Legend!$B$74, IF(J14=[3]Legend!$A$75, [3]Legend!$B$75, "")))))))))))</f>
        <v>25</v>
      </c>
      <c r="L14" s="5">
        <v>24</v>
      </c>
      <c r="M14" s="5">
        <v>1</v>
      </c>
      <c r="N14" s="5" t="s">
        <v>30</v>
      </c>
      <c r="O14" s="5" t="s">
        <v>92</v>
      </c>
    </row>
    <row r="15" spans="1:17" ht="14" customHeight="1" x14ac:dyDescent="0.45">
      <c r="A15" s="7">
        <v>45575</v>
      </c>
      <c r="B15" s="5" t="s">
        <v>68</v>
      </c>
      <c r="C15" s="5" t="s">
        <v>90</v>
      </c>
      <c r="D15" s="5">
        <v>1</v>
      </c>
      <c r="E15" s="5">
        <v>2</v>
      </c>
      <c r="F15" s="5">
        <v>2</v>
      </c>
      <c r="G15" s="7">
        <v>45706</v>
      </c>
      <c r="H15" s="5" t="s">
        <v>91</v>
      </c>
      <c r="I15" s="5">
        <v>5</v>
      </c>
      <c r="J15" s="5" t="s">
        <v>69</v>
      </c>
      <c r="K15" s="6">
        <f>IF(J15=[3]Legend!$A$67,[3]Legend!$B$67,(IF(J15=[3]Legend!$A$68,[3]Legend!$B$68,IF(J15=[3]Legend!$A$69, [3]Legend!$B$69, IF(J15=[3]Legend!$A$70, [3]Legend!$B$70, IF(J15=[3]Legend!$A$71, [3]Legend!$B$71, IF(J15=[3]Legend!$A$72, [3]Legend!$B$72, IF(J15=[3]Legend!$A$73, [3]Legend!$B$73, (IF(J15=[3]Legend!$A$74, [3]Legend!$B$74, IF(J15=[3]Legend!$A$75, [3]Legend!$B$75, "")))))))))))</f>
        <v>120</v>
      </c>
      <c r="L15" s="5">
        <v>120</v>
      </c>
      <c r="M15" s="5">
        <v>1</v>
      </c>
      <c r="N15" s="5" t="s">
        <v>30</v>
      </c>
      <c r="O15" s="5" t="s">
        <v>92</v>
      </c>
    </row>
    <row r="16" spans="1:17" ht="14" customHeight="1" x14ac:dyDescent="0.45">
      <c r="A16" s="7">
        <v>45575</v>
      </c>
      <c r="B16" s="5" t="s">
        <v>68</v>
      </c>
      <c r="C16" s="5" t="s">
        <v>90</v>
      </c>
      <c r="D16" s="5">
        <v>1</v>
      </c>
      <c r="E16" s="5">
        <v>2</v>
      </c>
      <c r="F16" s="5">
        <v>1</v>
      </c>
      <c r="G16" s="7">
        <v>45705</v>
      </c>
      <c r="H16" s="5" t="s">
        <v>91</v>
      </c>
      <c r="I16" s="5">
        <v>5</v>
      </c>
      <c r="J16" s="5" t="s">
        <v>60</v>
      </c>
      <c r="K16" s="6">
        <f>IF(J16=[10]Legend!$A$67,[10]Legend!$B$67,(IF(J16=[10]Legend!$A$68,[10]Legend!$B$68,IF(J16=[10]Legend!$A$69, [10]Legend!$B$69, IF(J16=[10]Legend!$A$70, [10]Legend!$B$70, IF(J16=[10]Legend!$A$71, [10]Legend!$B$71, IF(J16=[10]Legend!$A$72, [10]Legend!$B$72, IF(J16=[10]Legend!$A$73, [10]Legend!$B$73, (IF(J16=[10]Legend!$A$74, [10]Legend!$B$74, IF(J16=[10]Legend!$A$75, [10]Legend!$B$75, "")))))))))))</f>
        <v>25</v>
      </c>
      <c r="L16" s="5">
        <v>25</v>
      </c>
      <c r="M16" s="5">
        <v>1</v>
      </c>
      <c r="N16" s="5" t="s">
        <v>30</v>
      </c>
      <c r="O16" s="5"/>
    </row>
    <row r="17" spans="1:15" ht="14" customHeight="1" x14ac:dyDescent="0.45">
      <c r="A17" s="7">
        <v>45575</v>
      </c>
      <c r="B17" s="5" t="s">
        <v>68</v>
      </c>
      <c r="C17" s="5" t="s">
        <v>90</v>
      </c>
      <c r="D17" s="5">
        <v>1</v>
      </c>
      <c r="E17" s="5">
        <v>2</v>
      </c>
      <c r="F17" s="5">
        <v>1</v>
      </c>
      <c r="G17" s="7">
        <v>45705</v>
      </c>
      <c r="H17" s="5" t="s">
        <v>91</v>
      </c>
      <c r="I17" s="5">
        <v>5</v>
      </c>
      <c r="J17" s="5" t="s">
        <v>69</v>
      </c>
      <c r="K17" s="6">
        <f>IF(J17=[10]Legend!$A$67,[10]Legend!$B$67,(IF(J17=[10]Legend!$A$68,[10]Legend!$B$68,IF(J17=[10]Legend!$A$69, [10]Legend!$B$69, IF(J17=[10]Legend!$A$70, [10]Legend!$B$70, IF(J17=[10]Legend!$A$71, [10]Legend!$B$71, IF(J17=[10]Legend!$A$72, [10]Legend!$B$72, IF(J17=[10]Legend!$A$73, [10]Legend!$B$73, (IF(J17=[10]Legend!$A$74, [10]Legend!$B$74, IF(J17=[10]Legend!$A$75, [10]Legend!$B$75, "")))))))))))</f>
        <v>120</v>
      </c>
      <c r="L17" s="5">
        <v>120</v>
      </c>
      <c r="M17" s="5">
        <v>0</v>
      </c>
      <c r="N17" s="5"/>
      <c r="O17" s="5"/>
    </row>
    <row r="18" spans="1:15" ht="14" customHeight="1" x14ac:dyDescent="0.45">
      <c r="A18" s="7">
        <v>45582</v>
      </c>
      <c r="B18" s="5" t="s">
        <v>68</v>
      </c>
      <c r="C18" s="5" t="s">
        <v>124</v>
      </c>
      <c r="D18" s="5">
        <v>2</v>
      </c>
      <c r="E18" s="5">
        <v>2</v>
      </c>
      <c r="F18" s="5">
        <v>1</v>
      </c>
      <c r="G18" s="7">
        <v>45700</v>
      </c>
      <c r="H18" s="5" t="s">
        <v>91</v>
      </c>
      <c r="I18" s="5">
        <v>5</v>
      </c>
      <c r="J18" s="5" t="s">
        <v>60</v>
      </c>
      <c r="K18" s="6">
        <f>IF(J18=[10]Legend!$A$67,[10]Legend!$B$67,(IF(J18=[10]Legend!$A$68,[10]Legend!$B$68,IF(J18=[10]Legend!$A$69, [10]Legend!$B$69, IF(J18=[10]Legend!$A$70, [10]Legend!$B$70, IF(J18=[10]Legend!$A$71, [10]Legend!$B$71, IF(J18=[10]Legend!$A$72, [10]Legend!$B$72, IF(J18=[10]Legend!$A$73, [10]Legend!$B$73, (IF(J18=[10]Legend!$A$74, [10]Legend!$B$74, IF(J18=[10]Legend!$A$75, [10]Legend!$B$75, "")))))))))))</f>
        <v>25</v>
      </c>
      <c r="L18" s="5">
        <v>25</v>
      </c>
      <c r="M18" s="5">
        <v>0</v>
      </c>
      <c r="N18" s="5"/>
      <c r="O18" s="5" t="s">
        <v>144</v>
      </c>
    </row>
    <row r="19" spans="1:15" ht="14" customHeight="1" x14ac:dyDescent="0.45">
      <c r="A19" s="7">
        <v>45582</v>
      </c>
      <c r="B19" s="5" t="s">
        <v>68</v>
      </c>
      <c r="C19" s="5" t="s">
        <v>124</v>
      </c>
      <c r="D19" s="5">
        <v>2</v>
      </c>
      <c r="E19" s="5">
        <v>2</v>
      </c>
      <c r="F19" s="5">
        <v>1</v>
      </c>
      <c r="G19" s="7">
        <v>45700</v>
      </c>
      <c r="H19" s="5" t="s">
        <v>91</v>
      </c>
      <c r="I19" s="5">
        <v>5</v>
      </c>
      <c r="J19" s="5" t="s">
        <v>69</v>
      </c>
      <c r="K19" s="6">
        <f>IF(J19=[10]Legend!$A$67,[10]Legend!$B$67,(IF(J19=[10]Legend!$A$68,[10]Legend!$B$68,IF(J19=[10]Legend!$A$69, [10]Legend!$B$69, IF(J19=[10]Legend!$A$70, [10]Legend!$B$70, IF(J19=[10]Legend!$A$71, [10]Legend!$B$71, IF(J19=[10]Legend!$A$72, [10]Legend!$B$72, IF(J19=[10]Legend!$A$73, [10]Legend!$B$73, (IF(J19=[10]Legend!$A$74, [10]Legend!$B$74, IF(J19=[10]Legend!$A$75, [10]Legend!$B$75, "")))))))))))</f>
        <v>120</v>
      </c>
      <c r="L19" s="5">
        <v>120</v>
      </c>
      <c r="M19" s="5">
        <v>0</v>
      </c>
      <c r="N19" s="5"/>
      <c r="O19" s="5"/>
    </row>
    <row r="20" spans="1:15" ht="14" customHeight="1" x14ac:dyDescent="0.45">
      <c r="A20" s="7">
        <v>45582</v>
      </c>
      <c r="B20" s="5" t="s">
        <v>68</v>
      </c>
      <c r="C20" s="5" t="s">
        <v>124</v>
      </c>
      <c r="D20" s="5">
        <v>2</v>
      </c>
      <c r="E20" s="5">
        <v>2</v>
      </c>
      <c r="F20" s="5">
        <v>2</v>
      </c>
      <c r="G20" s="7">
        <v>45700</v>
      </c>
      <c r="H20" s="5" t="s">
        <v>91</v>
      </c>
      <c r="I20" s="5">
        <v>5</v>
      </c>
      <c r="J20" s="5" t="s">
        <v>60</v>
      </c>
      <c r="K20" s="6">
        <f>IF(J20=[10]Legend!$A$67,[10]Legend!$B$67,(IF(J20=[10]Legend!$A$68,[10]Legend!$B$68,IF(J20=[10]Legend!$A$69, [10]Legend!$B$69, IF(J20=[10]Legend!$A$70, [10]Legend!$B$70, IF(J20=[10]Legend!$A$71, [10]Legend!$B$71, IF(J20=[10]Legend!$A$72, [10]Legend!$B$72, IF(J20=[10]Legend!$A$73, [10]Legend!$B$73, (IF(J20=[10]Legend!$A$74, [10]Legend!$B$74, IF(J20=[10]Legend!$A$75, [10]Legend!$B$75, "")))))))))))</f>
        <v>25</v>
      </c>
      <c r="L20" s="5">
        <v>25</v>
      </c>
      <c r="M20" s="5">
        <v>0</v>
      </c>
      <c r="N20" s="5"/>
      <c r="O20" s="5"/>
    </row>
    <row r="21" spans="1:15" ht="14" customHeight="1" x14ac:dyDescent="0.45">
      <c r="A21" s="7">
        <v>45582</v>
      </c>
      <c r="B21" s="5" t="s">
        <v>68</v>
      </c>
      <c r="C21" s="5" t="s">
        <v>124</v>
      </c>
      <c r="D21" s="5">
        <v>2</v>
      </c>
      <c r="E21" s="5">
        <v>2</v>
      </c>
      <c r="F21" s="5">
        <v>2</v>
      </c>
      <c r="G21" s="7">
        <v>45700</v>
      </c>
      <c r="H21" s="5" t="s">
        <v>91</v>
      </c>
      <c r="I21" s="5">
        <v>5</v>
      </c>
      <c r="J21" s="5" t="s">
        <v>69</v>
      </c>
      <c r="K21" s="6">
        <f>IF(J21=[10]Legend!$A$67,[10]Legend!$B$67,(IF(J21=[10]Legend!$A$68,[10]Legend!$B$68,IF(J21=[10]Legend!$A$69, [10]Legend!$B$69, IF(J21=[10]Legend!$A$70, [10]Legend!$B$70, IF(J21=[10]Legend!$A$71, [10]Legend!$B$71, IF(J21=[10]Legend!$A$72, [10]Legend!$B$72, IF(J21=[10]Legend!$A$73, [10]Legend!$B$73, (IF(J21=[10]Legend!$A$74, [10]Legend!$B$74, IF(J21=[10]Legend!$A$75, [10]Legend!$B$75, "")))))))))))</f>
        <v>120</v>
      </c>
      <c r="L21" s="5">
        <v>120</v>
      </c>
      <c r="M21" s="5">
        <v>0</v>
      </c>
      <c r="N21" s="5"/>
      <c r="O21" s="5"/>
    </row>
    <row r="22" spans="1:15" ht="14" customHeight="1" x14ac:dyDescent="0.45">
      <c r="A22" s="7">
        <v>45589</v>
      </c>
      <c r="B22" s="5" t="s">
        <v>68</v>
      </c>
      <c r="C22" s="5" t="s">
        <v>16</v>
      </c>
      <c r="D22" s="5">
        <v>3</v>
      </c>
      <c r="E22" s="5">
        <v>2</v>
      </c>
      <c r="F22" s="5">
        <v>1</v>
      </c>
      <c r="G22" s="7">
        <v>45595</v>
      </c>
      <c r="H22" s="5" t="s">
        <v>17</v>
      </c>
      <c r="I22" s="5">
        <v>5</v>
      </c>
      <c r="J22" s="5" t="s">
        <v>60</v>
      </c>
      <c r="K22" s="6">
        <f>IF(J22=[1]Legend!$A$66,[1]Legend!$B$66,(IF(J22=[1]Legend!$A$67,[1]Legend!$B$67,IF(J22=[1]Legend!$A$68, [1]Legend!$B$68, IF(J22=[1]Legend!$A$69, [1]Legend!$B$69, IF(J22=[1]Legend!$A$70, [1]Legend!$B$70, IF(J22=[1]Legend!$A$71, [1]Legend!$B$71, IF(J22=[1]Legend!$A$72, [1]Legend!$B$72, (IF(J22=[1]Legend!$A$73, [1]Legend!$B$73, IF(J22=[1]Legend!$A$74, [1]Legend!$B$74, "")))))))))))</f>
        <v>25</v>
      </c>
      <c r="L22" s="5">
        <v>25</v>
      </c>
      <c r="M22" s="5"/>
      <c r="N22" s="5"/>
      <c r="O22" s="5" t="s">
        <v>71</v>
      </c>
    </row>
    <row r="23" spans="1:15" ht="14" customHeight="1" x14ac:dyDescent="0.45">
      <c r="A23" s="7">
        <v>45589</v>
      </c>
      <c r="B23" s="5" t="s">
        <v>68</v>
      </c>
      <c r="C23" s="5" t="s">
        <v>16</v>
      </c>
      <c r="D23" s="5">
        <v>3</v>
      </c>
      <c r="E23" s="5">
        <v>2</v>
      </c>
      <c r="F23" s="5">
        <v>1</v>
      </c>
      <c r="G23" s="7">
        <v>45595</v>
      </c>
      <c r="H23" s="5" t="s">
        <v>17</v>
      </c>
      <c r="I23" s="5">
        <v>5</v>
      </c>
      <c r="J23" s="5" t="s">
        <v>69</v>
      </c>
      <c r="K23" s="6">
        <f>IF(J23=[1]Legend!$A$66,[1]Legend!$B$66,(IF(J23=[1]Legend!$A$67,[1]Legend!$B$67,IF(J23=[1]Legend!$A$68, [1]Legend!$B$68, IF(J23=[1]Legend!$A$69, [1]Legend!$B$69, IF(J23=[1]Legend!$A$70, [1]Legend!$B$70, IF(J23=[1]Legend!$A$71, [1]Legend!$B$71, IF(J23=[1]Legend!$A$72, [1]Legend!$B$72, (IF(J23=[1]Legend!$A$73, [1]Legend!$B$73, IF(J23=[1]Legend!$A$74, [1]Legend!$B$74, "")))))))))))</f>
        <v>120</v>
      </c>
      <c r="L23" s="5">
        <v>120</v>
      </c>
      <c r="M23" s="5"/>
      <c r="N23" s="5"/>
      <c r="O23" s="5"/>
    </row>
    <row r="24" spans="1:15" ht="14" customHeight="1" x14ac:dyDescent="0.45">
      <c r="A24" s="7">
        <v>45589</v>
      </c>
      <c r="B24" s="5" t="s">
        <v>68</v>
      </c>
      <c r="C24" s="5" t="s">
        <v>16</v>
      </c>
      <c r="D24" s="5">
        <v>3</v>
      </c>
      <c r="E24" s="5">
        <v>2</v>
      </c>
      <c r="F24" s="5">
        <v>2</v>
      </c>
      <c r="G24" s="7">
        <v>45595</v>
      </c>
      <c r="H24" s="5" t="s">
        <v>17</v>
      </c>
      <c r="I24" s="5">
        <v>5</v>
      </c>
      <c r="J24" s="5" t="s">
        <v>60</v>
      </c>
      <c r="K24" s="6">
        <f>IF(J24=[1]Legend!$A$66,[1]Legend!$B$66,(IF(J24=[1]Legend!$A$67,[1]Legend!$B$67,IF(J24=[1]Legend!$A$68, [1]Legend!$B$68, IF(J24=[1]Legend!$A$69, [1]Legend!$B$69, IF(J24=[1]Legend!$A$70, [1]Legend!$B$70, IF(J24=[1]Legend!$A$71, [1]Legend!$B$71, IF(J24=[1]Legend!$A$72, [1]Legend!$B$72, (IF(J24=[1]Legend!$A$73, [1]Legend!$B$73, IF(J24=[1]Legend!$A$74, [1]Legend!$B$74, "")))))))))))</f>
        <v>25</v>
      </c>
      <c r="L24" s="5">
        <v>25</v>
      </c>
      <c r="M24" s="5"/>
      <c r="N24" s="5"/>
      <c r="O24" s="5"/>
    </row>
    <row r="25" spans="1:15" ht="14" customHeight="1" x14ac:dyDescent="0.45">
      <c r="A25" s="7">
        <v>45589</v>
      </c>
      <c r="B25" s="5" t="s">
        <v>68</v>
      </c>
      <c r="C25" s="5" t="s">
        <v>16</v>
      </c>
      <c r="D25" s="5">
        <v>3</v>
      </c>
      <c r="E25" s="5">
        <v>2</v>
      </c>
      <c r="F25" s="5">
        <v>2</v>
      </c>
      <c r="G25" s="7">
        <v>45595</v>
      </c>
      <c r="H25" s="5" t="s">
        <v>17</v>
      </c>
      <c r="I25" s="5">
        <v>5</v>
      </c>
      <c r="J25" s="5" t="s">
        <v>69</v>
      </c>
      <c r="K25" s="6">
        <f>IF(J25=[1]Legend!$A$66,[1]Legend!$B$66,(IF(J25=[1]Legend!$A$67,[1]Legend!$B$67,IF(J25=[1]Legend!$A$68, [1]Legend!$B$68, IF(J25=[1]Legend!$A$69, [1]Legend!$B$69, IF(J25=[1]Legend!$A$70, [1]Legend!$B$70, IF(J25=[1]Legend!$A$71, [1]Legend!$B$71, IF(J25=[1]Legend!$A$72, [1]Legend!$B$72, (IF(J25=[1]Legend!$A$73, [1]Legend!$B$73, IF(J25=[1]Legend!$A$74, [1]Legend!$B$74, "")))))))))))</f>
        <v>120</v>
      </c>
      <c r="L25" s="5">
        <v>120</v>
      </c>
      <c r="M25" s="5">
        <v>1</v>
      </c>
      <c r="N25" s="5" t="s">
        <v>30</v>
      </c>
      <c r="O25" s="5"/>
    </row>
    <row r="26" spans="1:15" ht="14" customHeight="1" x14ac:dyDescent="0.45">
      <c r="A26" s="7">
        <v>45575</v>
      </c>
      <c r="B26" s="5" t="s">
        <v>68</v>
      </c>
      <c r="C26" s="5" t="s">
        <v>90</v>
      </c>
      <c r="D26" s="5">
        <v>1</v>
      </c>
      <c r="E26" s="5">
        <v>3</v>
      </c>
      <c r="F26" s="5">
        <v>2</v>
      </c>
      <c r="G26" s="7">
        <v>45678</v>
      </c>
      <c r="H26" s="5" t="s">
        <v>91</v>
      </c>
      <c r="I26" s="5">
        <v>5</v>
      </c>
      <c r="J26" s="5" t="s">
        <v>60</v>
      </c>
      <c r="K26" s="6">
        <f>IF(J26=[8]Legend!$A$66,[8]Legend!$B$66,(IF(J26=[8]Legend!$A$67,[8]Legend!$B$67,IF(J26=[8]Legend!$A$68, [8]Legend!$B$68, IF(J26=[8]Legend!$A$69, [8]Legend!$B$69, IF(J26=[8]Legend!$A$70, [8]Legend!$B$70, IF(J26=[8]Legend!$A$71, [8]Legend!$B$71, IF(J26=[8]Legend!$A$72, [8]Legend!$B$72, (IF(J26=[8]Legend!$A$73, [8]Legend!$B$73, IF(J26=[8]Legend!$A$74, [8]Legend!$B$74, "")))))))))))</f>
        <v>25</v>
      </c>
      <c r="L26" s="5">
        <v>25</v>
      </c>
      <c r="M26" s="5">
        <v>0</v>
      </c>
      <c r="N26" s="5"/>
      <c r="O26" s="5" t="s">
        <v>131</v>
      </c>
    </row>
    <row r="27" spans="1:15" ht="14" customHeight="1" x14ac:dyDescent="0.45">
      <c r="A27" s="7">
        <v>45575</v>
      </c>
      <c r="B27" s="5" t="s">
        <v>68</v>
      </c>
      <c r="C27" s="5" t="s">
        <v>90</v>
      </c>
      <c r="D27" s="5">
        <v>1</v>
      </c>
      <c r="E27" s="5">
        <v>3</v>
      </c>
      <c r="F27" s="5">
        <v>2</v>
      </c>
      <c r="G27" s="7">
        <v>45678</v>
      </c>
      <c r="H27" s="5" t="s">
        <v>91</v>
      </c>
      <c r="I27" s="5">
        <v>5</v>
      </c>
      <c r="J27" s="5" t="s">
        <v>69</v>
      </c>
      <c r="K27" s="6">
        <f>IF(J27=[8]Legend!$A$66,[8]Legend!$B$66,(IF(J27=[8]Legend!$A$67,[8]Legend!$B$67,IF(J27=[8]Legend!$A$68, [8]Legend!$B$68, IF(J27=[8]Legend!$A$69, [8]Legend!$B$69, IF(J27=[8]Legend!$A$70, [8]Legend!$B$70, IF(J27=[8]Legend!$A$71, [8]Legend!$B$71, IF(J27=[8]Legend!$A$72, [8]Legend!$B$72, (IF(J27=[8]Legend!$A$73, [8]Legend!$B$73, IF(J27=[8]Legend!$A$74, [8]Legend!$B$74, "")))))))))))</f>
        <v>120</v>
      </c>
      <c r="L27" s="5">
        <v>120</v>
      </c>
      <c r="M27" s="5">
        <v>0</v>
      </c>
      <c r="N27" s="5"/>
      <c r="O27" s="5" t="s">
        <v>131</v>
      </c>
    </row>
    <row r="28" spans="1:15" ht="14" customHeight="1" x14ac:dyDescent="0.45">
      <c r="A28" s="7">
        <v>45575</v>
      </c>
      <c r="B28" s="5" t="s">
        <v>68</v>
      </c>
      <c r="C28" s="5" t="s">
        <v>90</v>
      </c>
      <c r="D28" s="5">
        <v>1</v>
      </c>
      <c r="E28" s="5">
        <v>3</v>
      </c>
      <c r="F28" s="5">
        <v>1</v>
      </c>
      <c r="G28" s="7">
        <v>45705</v>
      </c>
      <c r="H28" s="5" t="s">
        <v>91</v>
      </c>
      <c r="I28" s="5">
        <v>5</v>
      </c>
      <c r="J28" s="5" t="s">
        <v>60</v>
      </c>
      <c r="K28" s="6">
        <f>IF(J28=[10]Legend!$A$67,[10]Legend!$B$67,(IF(J28=[10]Legend!$A$68,[10]Legend!$B$68,IF(J28=[10]Legend!$A$69, [10]Legend!$B$69, IF(J28=[10]Legend!$A$70, [10]Legend!$B$70, IF(J28=[10]Legend!$A$71, [10]Legend!$B$71, IF(J28=[10]Legend!$A$72, [10]Legend!$B$72, IF(J28=[10]Legend!$A$73, [10]Legend!$B$73, (IF(J28=[10]Legend!$A$74, [10]Legend!$B$74, IF(J28=[10]Legend!$A$75, [10]Legend!$B$75, "")))))))))))</f>
        <v>25</v>
      </c>
      <c r="L28" s="5">
        <v>25</v>
      </c>
      <c r="M28" s="5">
        <v>0</v>
      </c>
      <c r="N28" s="5"/>
      <c r="O28" s="5"/>
    </row>
    <row r="29" spans="1:15" ht="14" customHeight="1" x14ac:dyDescent="0.45">
      <c r="A29" s="7">
        <v>45575</v>
      </c>
      <c r="B29" s="5" t="s">
        <v>68</v>
      </c>
      <c r="C29" s="5" t="s">
        <v>90</v>
      </c>
      <c r="D29" s="5">
        <v>1</v>
      </c>
      <c r="E29" s="5">
        <v>3</v>
      </c>
      <c r="F29" s="5">
        <v>1</v>
      </c>
      <c r="G29" s="7">
        <v>45705</v>
      </c>
      <c r="H29" s="5" t="s">
        <v>91</v>
      </c>
      <c r="I29" s="5">
        <v>5</v>
      </c>
      <c r="J29" s="5" t="s">
        <v>69</v>
      </c>
      <c r="K29" s="6">
        <f>IF(J29=[10]Legend!$A$67,[10]Legend!$B$67,(IF(J29=[10]Legend!$A$68,[10]Legend!$B$68,IF(J29=[10]Legend!$A$69, [10]Legend!$B$69, IF(J29=[10]Legend!$A$70, [10]Legend!$B$70, IF(J29=[10]Legend!$A$71, [10]Legend!$B$71, IF(J29=[10]Legend!$A$72, [10]Legend!$B$72, IF(J29=[10]Legend!$A$73, [10]Legend!$B$73, (IF(J29=[10]Legend!$A$74, [10]Legend!$B$74, IF(J29=[10]Legend!$A$75, [10]Legend!$B$75, "")))))))))))</f>
        <v>120</v>
      </c>
      <c r="L29" s="5">
        <v>120</v>
      </c>
      <c r="M29" s="5">
        <v>1</v>
      </c>
      <c r="N29" s="5" t="s">
        <v>30</v>
      </c>
      <c r="O29" s="5"/>
    </row>
    <row r="30" spans="1:15" ht="14" customHeight="1" x14ac:dyDescent="0.45">
      <c r="A30" s="7">
        <v>45582</v>
      </c>
      <c r="B30" s="5" t="s">
        <v>68</v>
      </c>
      <c r="C30" s="5" t="s">
        <v>124</v>
      </c>
      <c r="D30" s="5">
        <v>2</v>
      </c>
      <c r="E30" s="5">
        <v>3</v>
      </c>
      <c r="F30" s="5">
        <v>2</v>
      </c>
      <c r="G30" s="7">
        <v>45678</v>
      </c>
      <c r="H30" s="5" t="s">
        <v>91</v>
      </c>
      <c r="I30" s="5">
        <v>5</v>
      </c>
      <c r="J30" s="5" t="s">
        <v>60</v>
      </c>
      <c r="K30" s="6">
        <f>IF(J30=[8]Legend!$A$66,[8]Legend!$B$66,(IF(J30=[8]Legend!$A$67,[8]Legend!$B$67,IF(J30=[8]Legend!$A$68, [8]Legend!$B$68, IF(J30=[8]Legend!$A$69, [8]Legend!$B$69, IF(J30=[8]Legend!$A$70, [8]Legend!$B$70, IF(J30=[8]Legend!$A$71, [8]Legend!$B$71, IF(J30=[8]Legend!$A$72, [8]Legend!$B$72, (IF(J30=[8]Legend!$A$73, [8]Legend!$B$73, IF(J30=[8]Legend!$A$74, [8]Legend!$B$74, "")))))))))))</f>
        <v>25</v>
      </c>
      <c r="L30" s="5">
        <v>25</v>
      </c>
      <c r="M30" s="5">
        <v>0</v>
      </c>
      <c r="N30" s="5"/>
      <c r="O30" s="5" t="s">
        <v>122</v>
      </c>
    </row>
    <row r="31" spans="1:15" ht="14" customHeight="1" x14ac:dyDescent="0.45">
      <c r="A31" s="7">
        <v>45582</v>
      </c>
      <c r="B31" s="5" t="s">
        <v>68</v>
      </c>
      <c r="C31" s="5" t="s">
        <v>124</v>
      </c>
      <c r="D31" s="5">
        <v>2</v>
      </c>
      <c r="E31" s="5">
        <v>3</v>
      </c>
      <c r="F31" s="5">
        <v>2</v>
      </c>
      <c r="G31" s="7">
        <v>45678</v>
      </c>
      <c r="H31" s="5" t="s">
        <v>91</v>
      </c>
      <c r="I31" s="5">
        <v>5</v>
      </c>
      <c r="J31" s="5" t="s">
        <v>69</v>
      </c>
      <c r="K31" s="6">
        <f>IF(J31=[8]Legend!$A$66,[8]Legend!$B$66,(IF(J31=[8]Legend!$A$67,[8]Legend!$B$67,IF(J31=[8]Legend!$A$68, [8]Legend!$B$68, IF(J31=[8]Legend!$A$69, [8]Legend!$B$69, IF(J31=[8]Legend!$A$70, [8]Legend!$B$70, IF(J31=[8]Legend!$A$71, [8]Legend!$B$71, IF(J31=[8]Legend!$A$72, [8]Legend!$B$72, (IF(J31=[8]Legend!$A$73, [8]Legend!$B$73, IF(J31=[8]Legend!$A$74, [8]Legend!$B$74, "")))))))))))</f>
        <v>120</v>
      </c>
      <c r="L31" s="5">
        <v>121</v>
      </c>
      <c r="M31" s="5">
        <v>0</v>
      </c>
      <c r="N31" s="5"/>
      <c r="O31" s="5" t="s">
        <v>122</v>
      </c>
    </row>
    <row r="32" spans="1:15" ht="14" customHeight="1" x14ac:dyDescent="0.45">
      <c r="A32" s="7">
        <v>45582</v>
      </c>
      <c r="B32" s="5" t="s">
        <v>68</v>
      </c>
      <c r="C32" s="5" t="s">
        <v>124</v>
      </c>
      <c r="D32" s="5">
        <v>2</v>
      </c>
      <c r="E32" s="5">
        <v>3</v>
      </c>
      <c r="F32" s="5">
        <v>1</v>
      </c>
      <c r="G32" s="7">
        <v>45705</v>
      </c>
      <c r="H32" s="5" t="s">
        <v>91</v>
      </c>
      <c r="I32" s="5">
        <v>5</v>
      </c>
      <c r="J32" s="5" t="s">
        <v>60</v>
      </c>
      <c r="K32" s="6">
        <f>IF(J32=[10]Legend!$A$67,[10]Legend!$B$67,(IF(J32=[10]Legend!$A$68,[10]Legend!$B$68,IF(J32=[10]Legend!$A$69, [10]Legend!$B$69, IF(J32=[10]Legend!$A$70, [10]Legend!$B$70, IF(J32=[10]Legend!$A$71, [10]Legend!$B$71, IF(J32=[10]Legend!$A$72, [10]Legend!$B$72, IF(J32=[10]Legend!$A$73, [10]Legend!$B$73, (IF(J32=[10]Legend!$A$74, [10]Legend!$B$74, IF(J32=[10]Legend!$A$75, [10]Legend!$B$75, "")))))))))))</f>
        <v>25</v>
      </c>
      <c r="L32" s="5">
        <v>25</v>
      </c>
      <c r="M32" s="5">
        <v>1</v>
      </c>
      <c r="N32" s="5" t="s">
        <v>30</v>
      </c>
      <c r="O32" s="5"/>
    </row>
    <row r="33" spans="1:15" ht="14" customHeight="1" x14ac:dyDescent="0.45">
      <c r="A33" s="7">
        <v>45582</v>
      </c>
      <c r="B33" s="5" t="s">
        <v>68</v>
      </c>
      <c r="C33" s="5" t="s">
        <v>124</v>
      </c>
      <c r="D33" s="5">
        <v>2</v>
      </c>
      <c r="E33" s="5">
        <v>3</v>
      </c>
      <c r="F33" s="5">
        <v>1</v>
      </c>
      <c r="G33" s="7">
        <v>45705</v>
      </c>
      <c r="H33" s="5" t="s">
        <v>91</v>
      </c>
      <c r="I33" s="5">
        <v>5</v>
      </c>
      <c r="J33" s="5" t="s">
        <v>69</v>
      </c>
      <c r="K33" s="6">
        <f>IF(J33=[10]Legend!$A$67,[10]Legend!$B$67,(IF(J33=[10]Legend!$A$68,[10]Legend!$B$68,IF(J33=[10]Legend!$A$69, [10]Legend!$B$69, IF(J33=[10]Legend!$A$70, [10]Legend!$B$70, IF(J33=[10]Legend!$A$71, [10]Legend!$B$71, IF(J33=[10]Legend!$A$72, [10]Legend!$B$72, IF(J33=[10]Legend!$A$73, [10]Legend!$B$73, (IF(J33=[10]Legend!$A$74, [10]Legend!$B$74, IF(J33=[10]Legend!$A$75, [10]Legend!$B$75, "")))))))))))</f>
        <v>120</v>
      </c>
      <c r="L33" s="5">
        <v>121</v>
      </c>
      <c r="M33" s="5">
        <v>0</v>
      </c>
      <c r="N33" s="5"/>
      <c r="O33" s="5"/>
    </row>
    <row r="34" spans="1:15" ht="14" customHeight="1" x14ac:dyDescent="0.45">
      <c r="A34" s="7">
        <v>45589</v>
      </c>
      <c r="B34" s="5" t="s">
        <v>68</v>
      </c>
      <c r="C34" s="5" t="s">
        <v>16</v>
      </c>
      <c r="D34" s="5">
        <v>3</v>
      </c>
      <c r="E34" s="5">
        <v>3</v>
      </c>
      <c r="F34" s="5">
        <v>1</v>
      </c>
      <c r="G34" s="7">
        <v>45595</v>
      </c>
      <c r="H34" s="5" t="s">
        <v>17</v>
      </c>
      <c r="I34" s="5">
        <v>5</v>
      </c>
      <c r="J34" s="5" t="s">
        <v>60</v>
      </c>
      <c r="K34" s="6">
        <f>IF(J34=[1]Legend!$A$66,[1]Legend!$B$66,(IF(J34=[1]Legend!$A$67,[1]Legend!$B$67,IF(J34=[1]Legend!$A$68, [1]Legend!$B$68, IF(J34=[1]Legend!$A$69, [1]Legend!$B$69, IF(J34=[1]Legend!$A$70, [1]Legend!$B$70, IF(J34=[1]Legend!$A$71, [1]Legend!$B$71, IF(J34=[1]Legend!$A$72, [1]Legend!$B$72, (IF(J34=[1]Legend!$A$73, [1]Legend!$B$73, IF(J34=[1]Legend!$A$74, [1]Legend!$B$74, "")))))))))))</f>
        <v>25</v>
      </c>
      <c r="L34" s="5">
        <v>25</v>
      </c>
      <c r="M34" s="5"/>
      <c r="N34" s="5"/>
      <c r="O34" s="5"/>
    </row>
    <row r="35" spans="1:15" ht="14" customHeight="1" x14ac:dyDescent="0.45">
      <c r="A35" s="7">
        <v>45589</v>
      </c>
      <c r="B35" s="5" t="s">
        <v>68</v>
      </c>
      <c r="C35" s="5" t="s">
        <v>16</v>
      </c>
      <c r="D35" s="5">
        <v>3</v>
      </c>
      <c r="E35" s="5">
        <v>3</v>
      </c>
      <c r="F35" s="5">
        <v>1</v>
      </c>
      <c r="G35" s="7">
        <v>45595</v>
      </c>
      <c r="H35" s="5" t="s">
        <v>17</v>
      </c>
      <c r="I35" s="5">
        <v>5</v>
      </c>
      <c r="J35" s="5" t="s">
        <v>69</v>
      </c>
      <c r="K35" s="6">
        <f>IF(J35=[1]Legend!$A$66,[1]Legend!$B$66,(IF(J35=[1]Legend!$A$67,[1]Legend!$B$67,IF(J35=[1]Legend!$A$68, [1]Legend!$B$68, IF(J35=[1]Legend!$A$69, [1]Legend!$B$69, IF(J35=[1]Legend!$A$70, [1]Legend!$B$70, IF(J35=[1]Legend!$A$71, [1]Legend!$B$71, IF(J35=[1]Legend!$A$72, [1]Legend!$B$72, (IF(J35=[1]Legend!$A$73, [1]Legend!$B$73, IF(J35=[1]Legend!$A$74, [1]Legend!$B$74, "")))))))))))</f>
        <v>120</v>
      </c>
      <c r="L35" s="5">
        <v>120</v>
      </c>
      <c r="M35" s="5"/>
      <c r="N35" s="5"/>
      <c r="O35" s="5"/>
    </row>
    <row r="36" spans="1:15" ht="14" customHeight="1" x14ac:dyDescent="0.45">
      <c r="A36" s="7">
        <v>45589</v>
      </c>
      <c r="B36" s="5" t="s">
        <v>68</v>
      </c>
      <c r="C36" s="5" t="s">
        <v>16</v>
      </c>
      <c r="D36" s="5">
        <v>3</v>
      </c>
      <c r="E36" s="5">
        <v>3</v>
      </c>
      <c r="F36" s="5">
        <v>2</v>
      </c>
      <c r="G36" s="7">
        <v>45595</v>
      </c>
      <c r="H36" s="5" t="s">
        <v>17</v>
      </c>
      <c r="I36" s="5">
        <v>5</v>
      </c>
      <c r="J36" s="5" t="s">
        <v>60</v>
      </c>
      <c r="K36" s="6">
        <f>IF(J36=[1]Legend!$A$66,[1]Legend!$B$66,(IF(J36=[1]Legend!$A$67,[1]Legend!$B$67,IF(J36=[1]Legend!$A$68, [1]Legend!$B$68, IF(J36=[1]Legend!$A$69, [1]Legend!$B$69, IF(J36=[1]Legend!$A$70, [1]Legend!$B$70, IF(J36=[1]Legend!$A$71, [1]Legend!$B$71, IF(J36=[1]Legend!$A$72, [1]Legend!$B$72, (IF(J36=[1]Legend!$A$73, [1]Legend!$B$73, IF(J36=[1]Legend!$A$74, [1]Legend!$B$74, "")))))))))))</f>
        <v>25</v>
      </c>
      <c r="L36" s="5">
        <v>25</v>
      </c>
      <c r="M36" s="5"/>
      <c r="N36" s="5"/>
      <c r="O36" s="5"/>
    </row>
    <row r="37" spans="1:15" ht="14" customHeight="1" x14ac:dyDescent="0.45">
      <c r="A37" s="7">
        <v>45589</v>
      </c>
      <c r="B37" s="5" t="s">
        <v>68</v>
      </c>
      <c r="C37" s="5" t="s">
        <v>16</v>
      </c>
      <c r="D37" s="5">
        <v>3</v>
      </c>
      <c r="E37" s="5">
        <v>3</v>
      </c>
      <c r="F37" s="5">
        <v>2</v>
      </c>
      <c r="G37" s="7">
        <v>45595</v>
      </c>
      <c r="H37" s="5" t="s">
        <v>17</v>
      </c>
      <c r="I37" s="5">
        <v>5</v>
      </c>
      <c r="J37" s="5" t="s">
        <v>69</v>
      </c>
      <c r="K37" s="6">
        <f>IF(J37=[1]Legend!$A$66,[1]Legend!$B$66,(IF(J37=[1]Legend!$A$67,[1]Legend!$B$67,IF(J37=[1]Legend!$A$68, [1]Legend!$B$68, IF(J37=[1]Legend!$A$69, [1]Legend!$B$69, IF(J37=[1]Legend!$A$70, [1]Legend!$B$70, IF(J37=[1]Legend!$A$71, [1]Legend!$B$71, IF(J37=[1]Legend!$A$72, [1]Legend!$B$72, (IF(J37=[1]Legend!$A$73, [1]Legend!$B$73, IF(J37=[1]Legend!$A$74, [1]Legend!$B$74, "")))))))))))</f>
        <v>120</v>
      </c>
      <c r="L37" s="5">
        <v>120</v>
      </c>
      <c r="M37" s="5">
        <v>1</v>
      </c>
      <c r="N37" s="5" t="s">
        <v>30</v>
      </c>
      <c r="O37" s="5"/>
    </row>
    <row r="38" spans="1:15" ht="14" customHeight="1" x14ac:dyDescent="0.45">
      <c r="A38" s="7">
        <v>45575</v>
      </c>
      <c r="B38" s="5" t="s">
        <v>68</v>
      </c>
      <c r="C38" s="5" t="s">
        <v>90</v>
      </c>
      <c r="D38" s="5">
        <v>1</v>
      </c>
      <c r="E38" s="5">
        <v>4</v>
      </c>
      <c r="F38" s="5">
        <v>1</v>
      </c>
      <c r="G38" s="7">
        <v>45677</v>
      </c>
      <c r="H38" s="5" t="s">
        <v>91</v>
      </c>
      <c r="I38" s="5">
        <v>5</v>
      </c>
      <c r="J38" s="5" t="s">
        <v>60</v>
      </c>
      <c r="K38" s="6">
        <f>IF(J38=[8]Legend!$A$66,[8]Legend!$B$66,(IF(J38=[8]Legend!$A$67,[8]Legend!$B$67,IF(J38=[8]Legend!$A$68, [8]Legend!$B$68, IF(J38=[8]Legend!$A$69, [8]Legend!$B$69, IF(J38=[8]Legend!$A$70, [8]Legend!$B$70, IF(J38=[8]Legend!$A$71, [8]Legend!$B$71, IF(J38=[8]Legend!$A$72, [8]Legend!$B$72, (IF(J38=[8]Legend!$A$73, [8]Legend!$B$73, IF(J38=[8]Legend!$A$74, [8]Legend!$B$74, "")))))))))))</f>
        <v>25</v>
      </c>
      <c r="L38" s="5">
        <v>25</v>
      </c>
      <c r="M38" s="5">
        <v>0</v>
      </c>
      <c r="N38" s="5"/>
      <c r="O38" s="5"/>
    </row>
    <row r="39" spans="1:15" ht="14" customHeight="1" x14ac:dyDescent="0.45">
      <c r="A39" s="7">
        <v>45575</v>
      </c>
      <c r="B39" s="5" t="s">
        <v>68</v>
      </c>
      <c r="C39" s="5" t="s">
        <v>90</v>
      </c>
      <c r="D39" s="5">
        <v>1</v>
      </c>
      <c r="E39" s="5">
        <v>4</v>
      </c>
      <c r="F39" s="5">
        <v>1</v>
      </c>
      <c r="G39" s="7">
        <v>45677</v>
      </c>
      <c r="H39" s="5" t="s">
        <v>91</v>
      </c>
      <c r="I39" s="5">
        <v>5</v>
      </c>
      <c r="J39" s="5" t="s">
        <v>69</v>
      </c>
      <c r="K39" s="6">
        <f>IF(J39=[8]Legend!$A$66,[8]Legend!$B$66,(IF(J39=[8]Legend!$A$67,[8]Legend!$B$67,IF(J39=[8]Legend!$A$68, [8]Legend!$B$68, IF(J39=[8]Legend!$A$69, [8]Legend!$B$69, IF(J39=[8]Legend!$A$70, [8]Legend!$B$70, IF(J39=[8]Legend!$A$71, [8]Legend!$B$71, IF(J39=[8]Legend!$A$72, [8]Legend!$B$72, (IF(J39=[8]Legend!$A$73, [8]Legend!$B$73, IF(J39=[8]Legend!$A$74, [8]Legend!$B$74, "")))))))))))</f>
        <v>120</v>
      </c>
      <c r="L39" s="5">
        <v>120</v>
      </c>
      <c r="M39" s="5">
        <v>0</v>
      </c>
      <c r="N39" s="5"/>
      <c r="O39" s="5"/>
    </row>
    <row r="40" spans="1:15" ht="14" customHeight="1" x14ac:dyDescent="0.45">
      <c r="A40" s="7">
        <v>45575</v>
      </c>
      <c r="B40" s="5" t="s">
        <v>68</v>
      </c>
      <c r="C40" s="5" t="s">
        <v>90</v>
      </c>
      <c r="D40" s="5">
        <v>1</v>
      </c>
      <c r="E40" s="5">
        <v>4</v>
      </c>
      <c r="F40" s="5">
        <v>2</v>
      </c>
      <c r="G40" s="7">
        <v>45677</v>
      </c>
      <c r="H40" s="5" t="s">
        <v>91</v>
      </c>
      <c r="I40" s="5">
        <v>5</v>
      </c>
      <c r="J40" s="5" t="s">
        <v>60</v>
      </c>
      <c r="K40" s="6">
        <f>IF(J40=[8]Legend!$A$66,[8]Legend!$B$66,(IF(J40=[8]Legend!$A$67,[8]Legend!$B$67,IF(J40=[8]Legend!$A$68, [8]Legend!$B$68, IF(J40=[8]Legend!$A$69, [8]Legend!$B$69, IF(J40=[8]Legend!$A$70, [8]Legend!$B$70, IF(J40=[8]Legend!$A$71, [8]Legend!$B$71, IF(J40=[8]Legend!$A$72, [8]Legend!$B$72, (IF(J40=[8]Legend!$A$73, [8]Legend!$B$73, IF(J40=[8]Legend!$A$74, [8]Legend!$B$74, "")))))))))))</f>
        <v>25</v>
      </c>
      <c r="L40" s="5">
        <v>25</v>
      </c>
      <c r="M40" s="5">
        <v>0</v>
      </c>
      <c r="N40" s="5"/>
      <c r="O40" s="5"/>
    </row>
    <row r="41" spans="1:15" ht="14" customHeight="1" x14ac:dyDescent="0.45">
      <c r="A41" s="7">
        <v>45575</v>
      </c>
      <c r="B41" s="5" t="s">
        <v>68</v>
      </c>
      <c r="C41" s="5" t="s">
        <v>90</v>
      </c>
      <c r="D41" s="5">
        <v>1</v>
      </c>
      <c r="E41" s="5">
        <v>4</v>
      </c>
      <c r="F41" s="5">
        <v>2</v>
      </c>
      <c r="G41" s="7">
        <v>45677</v>
      </c>
      <c r="H41" s="5" t="s">
        <v>91</v>
      </c>
      <c r="I41" s="5">
        <v>5</v>
      </c>
      <c r="J41" s="5" t="s">
        <v>69</v>
      </c>
      <c r="K41" s="6">
        <f>IF(J41=[8]Legend!$A$66,[8]Legend!$B$66,(IF(J41=[8]Legend!$A$67,[8]Legend!$B$67,IF(J41=[8]Legend!$A$68, [8]Legend!$B$68, IF(J41=[8]Legend!$A$69, [8]Legend!$B$69, IF(J41=[8]Legend!$A$70, [8]Legend!$B$70, IF(J41=[8]Legend!$A$71, [8]Legend!$B$71, IF(J41=[8]Legend!$A$72, [8]Legend!$B$72, (IF(J41=[8]Legend!$A$73, [8]Legend!$B$73, IF(J41=[8]Legend!$A$74, [8]Legend!$B$74, "")))))))))))</f>
        <v>120</v>
      </c>
      <c r="L41" s="5">
        <v>120</v>
      </c>
      <c r="M41" s="5">
        <v>0</v>
      </c>
      <c r="N41" s="5"/>
      <c r="O41" s="5"/>
    </row>
    <row r="42" spans="1:15" ht="14" customHeight="1" x14ac:dyDescent="0.45">
      <c r="A42" s="7">
        <v>45582</v>
      </c>
      <c r="B42" s="5" t="s">
        <v>68</v>
      </c>
      <c r="C42" s="5" t="s">
        <v>124</v>
      </c>
      <c r="D42" s="5">
        <v>2</v>
      </c>
      <c r="E42" s="5">
        <v>4</v>
      </c>
      <c r="F42" s="5">
        <v>1</v>
      </c>
      <c r="G42" s="7">
        <v>45700</v>
      </c>
      <c r="H42" s="5" t="s">
        <v>91</v>
      </c>
      <c r="I42" s="5">
        <v>5</v>
      </c>
      <c r="J42" s="5" t="s">
        <v>60</v>
      </c>
      <c r="K42" s="6">
        <f>IF(J42=[10]Legend!$A$67,[10]Legend!$B$67,(IF(J42=[10]Legend!$A$68,[10]Legend!$B$68,IF(J42=[10]Legend!$A$69, [10]Legend!$B$69, IF(J42=[10]Legend!$A$70, [10]Legend!$B$70, IF(J42=[10]Legend!$A$71, [10]Legend!$B$71, IF(J42=[10]Legend!$A$72, [10]Legend!$B$72, IF(J42=[10]Legend!$A$73, [10]Legend!$B$73, (IF(J42=[10]Legend!$A$74, [10]Legend!$B$74, IF(J42=[10]Legend!$A$75, [10]Legend!$B$75, "")))))))))))</f>
        <v>25</v>
      </c>
      <c r="L42" s="5">
        <v>25</v>
      </c>
      <c r="M42" s="5">
        <v>0</v>
      </c>
      <c r="N42" s="5"/>
      <c r="O42" s="5"/>
    </row>
    <row r="43" spans="1:15" ht="14" customHeight="1" x14ac:dyDescent="0.45">
      <c r="A43" s="7">
        <v>45582</v>
      </c>
      <c r="B43" s="5" t="s">
        <v>68</v>
      </c>
      <c r="C43" s="5" t="s">
        <v>124</v>
      </c>
      <c r="D43" s="5">
        <v>2</v>
      </c>
      <c r="E43" s="5">
        <v>4</v>
      </c>
      <c r="F43" s="5">
        <v>1</v>
      </c>
      <c r="G43" s="7">
        <v>45700</v>
      </c>
      <c r="H43" s="5" t="s">
        <v>91</v>
      </c>
      <c r="I43" s="5">
        <v>5</v>
      </c>
      <c r="J43" s="5" t="s">
        <v>69</v>
      </c>
      <c r="K43" s="6">
        <f>IF(J43=[10]Legend!$A$67,[10]Legend!$B$67,(IF(J43=[10]Legend!$A$68,[10]Legend!$B$68,IF(J43=[10]Legend!$A$69, [10]Legend!$B$69, IF(J43=[10]Legend!$A$70, [10]Legend!$B$70, IF(J43=[10]Legend!$A$71, [10]Legend!$B$71, IF(J43=[10]Legend!$A$72, [10]Legend!$B$72, IF(J43=[10]Legend!$A$73, [10]Legend!$B$73, (IF(J43=[10]Legend!$A$74, [10]Legend!$B$74, IF(J43=[10]Legend!$A$75, [10]Legend!$B$75, "")))))))))))</f>
        <v>120</v>
      </c>
      <c r="L43" s="5">
        <v>120</v>
      </c>
      <c r="M43" s="5">
        <v>0</v>
      </c>
      <c r="N43" s="5"/>
      <c r="O43" s="5"/>
    </row>
    <row r="44" spans="1:15" ht="14" customHeight="1" x14ac:dyDescent="0.45">
      <c r="A44" s="7">
        <v>45582</v>
      </c>
      <c r="B44" s="5" t="s">
        <v>68</v>
      </c>
      <c r="C44" s="5" t="s">
        <v>124</v>
      </c>
      <c r="D44" s="5">
        <v>2</v>
      </c>
      <c r="E44" s="5">
        <v>4</v>
      </c>
      <c r="F44" s="5">
        <v>2</v>
      </c>
      <c r="G44" s="7">
        <v>45700</v>
      </c>
      <c r="H44" s="5" t="s">
        <v>91</v>
      </c>
      <c r="I44" s="5">
        <v>5</v>
      </c>
      <c r="J44" s="5" t="s">
        <v>60</v>
      </c>
      <c r="K44" s="6">
        <f>IF(J44=[10]Legend!$A$67,[10]Legend!$B$67,(IF(J44=[10]Legend!$A$68,[10]Legend!$B$68,IF(J44=[10]Legend!$A$69, [10]Legend!$B$69, IF(J44=[10]Legend!$A$70, [10]Legend!$B$70, IF(J44=[10]Legend!$A$71, [10]Legend!$B$71, IF(J44=[10]Legend!$A$72, [10]Legend!$B$72, IF(J44=[10]Legend!$A$73, [10]Legend!$B$73, (IF(J44=[10]Legend!$A$74, [10]Legend!$B$74, IF(J44=[10]Legend!$A$75, [10]Legend!$B$75, "")))))))))))</f>
        <v>25</v>
      </c>
      <c r="L44" s="5">
        <v>25</v>
      </c>
      <c r="M44" s="5">
        <v>0</v>
      </c>
      <c r="N44" s="5"/>
      <c r="O44" s="5"/>
    </row>
    <row r="45" spans="1:15" ht="14" customHeight="1" x14ac:dyDescent="0.45">
      <c r="A45" s="8">
        <v>45582</v>
      </c>
      <c r="B45" s="15" t="s">
        <v>68</v>
      </c>
      <c r="C45" s="15" t="s">
        <v>124</v>
      </c>
      <c r="D45" s="15">
        <v>2</v>
      </c>
      <c r="E45" s="15">
        <v>4</v>
      </c>
      <c r="F45" s="15">
        <v>2</v>
      </c>
      <c r="G45" s="8">
        <v>45700</v>
      </c>
      <c r="H45" s="15" t="s">
        <v>91</v>
      </c>
      <c r="I45" s="15">
        <v>5</v>
      </c>
      <c r="J45" s="5" t="s">
        <v>69</v>
      </c>
      <c r="K45" s="6">
        <f>IF(J45=[10]Legend!$A$67,[10]Legend!$B$67,(IF(J45=[10]Legend!$A$68,[10]Legend!$B$68,IF(J45=[10]Legend!$A$69, [10]Legend!$B$69, IF(J45=[10]Legend!$A$70, [10]Legend!$B$70, IF(J45=[10]Legend!$A$71, [10]Legend!$B$71, IF(J45=[10]Legend!$A$72, [10]Legend!$B$72, IF(J45=[10]Legend!$A$73, [10]Legend!$B$73, (IF(J45=[10]Legend!$A$74, [10]Legend!$B$74, IF(J45=[10]Legend!$A$75, [10]Legend!$B$75, "")))))))))))</f>
        <v>120</v>
      </c>
      <c r="L45" s="5">
        <v>120</v>
      </c>
      <c r="M45" s="5">
        <v>0</v>
      </c>
      <c r="N45" s="5"/>
      <c r="O45" s="5"/>
    </row>
    <row r="46" spans="1:15" ht="14" customHeight="1" x14ac:dyDescent="0.45">
      <c r="A46" s="7">
        <v>45589</v>
      </c>
      <c r="B46" s="5" t="s">
        <v>68</v>
      </c>
      <c r="C46" s="5" t="s">
        <v>16</v>
      </c>
      <c r="D46" s="5">
        <v>3</v>
      </c>
      <c r="E46" s="5">
        <v>4</v>
      </c>
      <c r="F46" s="5">
        <v>1</v>
      </c>
      <c r="G46" s="7">
        <v>45595</v>
      </c>
      <c r="H46" s="5" t="s">
        <v>17</v>
      </c>
      <c r="I46" s="5">
        <v>5</v>
      </c>
      <c r="J46" s="5" t="s">
        <v>60</v>
      </c>
      <c r="K46" s="6">
        <f>IF(J46=[1]Legend!$A$66,[1]Legend!$B$66,(IF(J46=[1]Legend!$A$67,[1]Legend!$B$67,IF(J46=[1]Legend!$A$68, [1]Legend!$B$68, IF(J46=[1]Legend!$A$69, [1]Legend!$B$69, IF(J46=[1]Legend!$A$70, [1]Legend!$B$70, IF(J46=[1]Legend!$A$71, [1]Legend!$B$71, IF(J46=[1]Legend!$A$72, [1]Legend!$B$72, (IF(J46=[1]Legend!$A$73, [1]Legend!$B$73, IF(J46=[1]Legend!$A$74, [1]Legend!$B$74, "")))))))))))</f>
        <v>25</v>
      </c>
      <c r="L46" s="5">
        <v>25</v>
      </c>
      <c r="M46" s="5"/>
      <c r="N46" s="5"/>
      <c r="O46" s="5" t="s">
        <v>70</v>
      </c>
    </row>
    <row r="47" spans="1:15" ht="14" customHeight="1" x14ac:dyDescent="0.45">
      <c r="A47" s="7">
        <v>45589</v>
      </c>
      <c r="B47" s="5" t="s">
        <v>68</v>
      </c>
      <c r="C47" s="5" t="s">
        <v>16</v>
      </c>
      <c r="D47" s="5">
        <v>3</v>
      </c>
      <c r="E47" s="5">
        <v>4</v>
      </c>
      <c r="F47" s="5">
        <v>1</v>
      </c>
      <c r="G47" s="7">
        <v>45595</v>
      </c>
      <c r="H47" s="5" t="s">
        <v>17</v>
      </c>
      <c r="I47" s="5">
        <v>5</v>
      </c>
      <c r="J47" s="5" t="s">
        <v>69</v>
      </c>
      <c r="K47" s="6">
        <f>IF(J47=[1]Legend!$A$66,[1]Legend!$B$66,(IF(J47=[1]Legend!$A$67,[1]Legend!$B$67,IF(J47=[1]Legend!$A$68, [1]Legend!$B$68, IF(J47=[1]Legend!$A$69, [1]Legend!$B$69, IF(J47=[1]Legend!$A$70, [1]Legend!$B$70, IF(J47=[1]Legend!$A$71, [1]Legend!$B$71, IF(J47=[1]Legend!$A$72, [1]Legend!$B$72, (IF(J47=[1]Legend!$A$73, [1]Legend!$B$73, IF(J47=[1]Legend!$A$74, [1]Legend!$B$74, "")))))))))))</f>
        <v>120</v>
      </c>
      <c r="L47" s="5">
        <v>120</v>
      </c>
      <c r="M47" s="5"/>
      <c r="N47" s="5"/>
      <c r="O47" s="5"/>
    </row>
    <row r="48" spans="1:15" ht="14" customHeight="1" x14ac:dyDescent="0.45">
      <c r="A48" s="7">
        <v>45589</v>
      </c>
      <c r="B48" s="5" t="s">
        <v>68</v>
      </c>
      <c r="C48" s="5" t="s">
        <v>16</v>
      </c>
      <c r="D48" s="5">
        <v>3</v>
      </c>
      <c r="E48" s="5">
        <v>4</v>
      </c>
      <c r="F48" s="17">
        <v>2</v>
      </c>
      <c r="G48" s="7">
        <v>45595</v>
      </c>
      <c r="H48" s="5" t="s">
        <v>17</v>
      </c>
      <c r="I48" s="5">
        <v>5</v>
      </c>
      <c r="J48" s="5" t="s">
        <v>60</v>
      </c>
      <c r="K48" s="6">
        <f>IF(J48=[1]Legend!$A$66,[1]Legend!$B$66,(IF(J48=[1]Legend!$A$67,[1]Legend!$B$67,IF(J48=[1]Legend!$A$68, [1]Legend!$B$68, IF(J48=[1]Legend!$A$69, [1]Legend!$B$69, IF(J48=[1]Legend!$A$70, [1]Legend!$B$70, IF(J48=[1]Legend!$A$71, [1]Legend!$B$71, IF(J48=[1]Legend!$A$72, [1]Legend!$B$72, (IF(J48=[1]Legend!$A$73, [1]Legend!$B$73, IF(J48=[1]Legend!$A$74, [1]Legend!$B$74, "")))))))))))</f>
        <v>25</v>
      </c>
      <c r="L48" s="5">
        <v>25</v>
      </c>
      <c r="M48" s="5"/>
      <c r="N48" s="5"/>
      <c r="O48" s="5"/>
    </row>
    <row r="49" spans="1:15" ht="14" customHeight="1" x14ac:dyDescent="0.45">
      <c r="A49" s="7">
        <v>45589</v>
      </c>
      <c r="B49" s="5" t="s">
        <v>68</v>
      </c>
      <c r="C49" s="5" t="s">
        <v>16</v>
      </c>
      <c r="D49" s="5">
        <v>3</v>
      </c>
      <c r="E49" s="5">
        <v>4</v>
      </c>
      <c r="F49" s="5">
        <v>2</v>
      </c>
      <c r="G49" s="7">
        <v>45595</v>
      </c>
      <c r="H49" s="5" t="s">
        <v>17</v>
      </c>
      <c r="I49" s="5">
        <v>5</v>
      </c>
      <c r="J49" s="5" t="s">
        <v>69</v>
      </c>
      <c r="K49" s="6">
        <f>IF(J49=[1]Legend!$A$66,[1]Legend!$B$66,(IF(J49=[1]Legend!$A$67,[1]Legend!$B$67,IF(J49=[1]Legend!$A$68, [1]Legend!$B$68, IF(J49=[1]Legend!$A$69, [1]Legend!$B$69, IF(J49=[1]Legend!$A$70, [1]Legend!$B$70, IF(J49=[1]Legend!$A$71, [1]Legend!$B$71, IF(J49=[1]Legend!$A$72, [1]Legend!$B$72, (IF(J49=[1]Legend!$A$73, [1]Legend!$B$73, IF(J49=[1]Legend!$A$74, [1]Legend!$B$74, "")))))))))))</f>
        <v>120</v>
      </c>
      <c r="L49" s="5">
        <v>120</v>
      </c>
      <c r="M49" s="5">
        <v>1</v>
      </c>
      <c r="N49" s="5" t="s">
        <v>21</v>
      </c>
      <c r="O49" s="5"/>
    </row>
    <row r="50" spans="1:15" ht="14" customHeight="1" x14ac:dyDescent="0.45">
      <c r="A50" s="7">
        <v>45575</v>
      </c>
      <c r="B50" s="5" t="s">
        <v>68</v>
      </c>
      <c r="C50" s="5" t="s">
        <v>90</v>
      </c>
      <c r="D50" s="5">
        <v>1</v>
      </c>
      <c r="E50" s="5">
        <v>5</v>
      </c>
      <c r="F50" s="5">
        <v>1</v>
      </c>
      <c r="G50" s="7">
        <v>45706</v>
      </c>
      <c r="H50" s="5" t="s">
        <v>91</v>
      </c>
      <c r="I50" s="5">
        <v>5</v>
      </c>
      <c r="J50" s="5" t="s">
        <v>60</v>
      </c>
      <c r="K50" s="6">
        <f>IF(J50=[3]Legend!$A$67,[3]Legend!$B$67,(IF(J50=[3]Legend!$A$68,[3]Legend!$B$68,IF(J50=[3]Legend!$A$69, [3]Legend!$B$69, IF(J50=[3]Legend!$A$70, [3]Legend!$B$70, IF(J50=[3]Legend!$A$71, [3]Legend!$B$71, IF(J50=[3]Legend!$A$72, [3]Legend!$B$72, IF(J50=[3]Legend!$A$73, [3]Legend!$B$73, (IF(J50=[3]Legend!$A$74, [3]Legend!$B$74, IF(J50=[3]Legend!$A$75, [3]Legend!$B$75, "")))))))))))</f>
        <v>25</v>
      </c>
      <c r="L50" s="5">
        <v>25</v>
      </c>
      <c r="M50" s="5">
        <v>0</v>
      </c>
      <c r="N50" s="5"/>
      <c r="O50" s="5"/>
    </row>
    <row r="51" spans="1:15" ht="14" customHeight="1" x14ac:dyDescent="0.45">
      <c r="A51" s="7">
        <v>45575</v>
      </c>
      <c r="B51" s="5" t="s">
        <v>68</v>
      </c>
      <c r="C51" s="5" t="s">
        <v>90</v>
      </c>
      <c r="D51" s="5">
        <v>1</v>
      </c>
      <c r="E51" s="5">
        <v>5</v>
      </c>
      <c r="F51" s="5">
        <v>1</v>
      </c>
      <c r="G51" s="7">
        <v>45706</v>
      </c>
      <c r="H51" s="5" t="s">
        <v>91</v>
      </c>
      <c r="I51" s="5">
        <v>5</v>
      </c>
      <c r="J51" s="5" t="s">
        <v>69</v>
      </c>
      <c r="K51" s="6">
        <f>IF(J51=[3]Legend!$A$67,[3]Legend!$B$67,(IF(J51=[3]Legend!$A$68,[3]Legend!$B$68,IF(J51=[3]Legend!$A$69, [3]Legend!$B$69, IF(J51=[3]Legend!$A$70, [3]Legend!$B$70, IF(J51=[3]Legend!$A$71, [3]Legend!$B$71, IF(J51=[3]Legend!$A$72, [3]Legend!$B$72, IF(J51=[3]Legend!$A$73, [3]Legend!$B$73, (IF(J51=[3]Legend!$A$74, [3]Legend!$B$74, IF(J51=[3]Legend!$A$75, [3]Legend!$B$75, "")))))))))))</f>
        <v>120</v>
      </c>
      <c r="L51" s="5">
        <v>122</v>
      </c>
      <c r="M51" s="5">
        <v>0</v>
      </c>
      <c r="N51" s="5"/>
      <c r="O51" s="5"/>
    </row>
    <row r="52" spans="1:15" ht="14" customHeight="1" x14ac:dyDescent="0.45">
      <c r="A52" s="7">
        <v>45575</v>
      </c>
      <c r="B52" s="5" t="s">
        <v>68</v>
      </c>
      <c r="C52" s="5" t="s">
        <v>90</v>
      </c>
      <c r="D52" s="5">
        <v>1</v>
      </c>
      <c r="E52" s="5">
        <v>5</v>
      </c>
      <c r="F52" s="5">
        <v>2</v>
      </c>
      <c r="G52" s="7">
        <v>45705</v>
      </c>
      <c r="H52" s="5" t="s">
        <v>91</v>
      </c>
      <c r="I52" s="5">
        <v>5</v>
      </c>
      <c r="J52" s="5" t="s">
        <v>60</v>
      </c>
      <c r="K52" s="6">
        <f>IF(J52=[10]Legend!$A$67,[10]Legend!$B$67,(IF(J52=[10]Legend!$A$68,[10]Legend!$B$68,IF(J52=[10]Legend!$A$69, [10]Legend!$B$69, IF(J52=[10]Legend!$A$70, [10]Legend!$B$70, IF(J52=[10]Legend!$A$71, [10]Legend!$B$71, IF(J52=[10]Legend!$A$72, [10]Legend!$B$72, IF(J52=[10]Legend!$A$73, [10]Legend!$B$73, (IF(J52=[10]Legend!$A$74, [10]Legend!$B$74, IF(J52=[10]Legend!$A$75, [10]Legend!$B$75, "")))))))))))</f>
        <v>25</v>
      </c>
      <c r="L52" s="5">
        <v>25</v>
      </c>
      <c r="M52" s="5">
        <v>0</v>
      </c>
      <c r="N52" s="5"/>
      <c r="O52" s="5"/>
    </row>
    <row r="53" spans="1:15" ht="14" customHeight="1" x14ac:dyDescent="0.45">
      <c r="A53" s="7">
        <v>45575</v>
      </c>
      <c r="B53" s="5" t="s">
        <v>68</v>
      </c>
      <c r="C53" s="5" t="s">
        <v>90</v>
      </c>
      <c r="D53" s="5">
        <v>1</v>
      </c>
      <c r="E53" s="5">
        <v>5</v>
      </c>
      <c r="F53" s="5">
        <v>2</v>
      </c>
      <c r="G53" s="7">
        <v>45705</v>
      </c>
      <c r="H53" s="5" t="s">
        <v>91</v>
      </c>
      <c r="I53" s="5">
        <v>5</v>
      </c>
      <c r="J53" s="5" t="s">
        <v>69</v>
      </c>
      <c r="K53" s="6">
        <f>IF(J53=[10]Legend!$A$67,[10]Legend!$B$67,(IF(J53=[10]Legend!$A$68,[10]Legend!$B$68,IF(J53=[10]Legend!$A$69, [10]Legend!$B$69, IF(J53=[10]Legend!$A$70, [10]Legend!$B$70, IF(J53=[10]Legend!$A$71, [10]Legend!$B$71, IF(J53=[10]Legend!$A$72, [10]Legend!$B$72, IF(J53=[10]Legend!$A$73, [10]Legend!$B$73, (IF(J53=[10]Legend!$A$74, [10]Legend!$B$74, IF(J53=[10]Legend!$A$75, [10]Legend!$B$75, "")))))))))))</f>
        <v>120</v>
      </c>
      <c r="L53" s="5">
        <v>124</v>
      </c>
      <c r="M53" s="5">
        <v>3</v>
      </c>
      <c r="N53" s="5" t="s">
        <v>30</v>
      </c>
      <c r="O53" s="5"/>
    </row>
    <row r="54" spans="1:15" ht="14" customHeight="1" x14ac:dyDescent="0.45">
      <c r="A54" s="7">
        <v>45582</v>
      </c>
      <c r="B54" s="5" t="s">
        <v>68</v>
      </c>
      <c r="C54" s="5" t="s">
        <v>124</v>
      </c>
      <c r="D54" s="5">
        <v>2</v>
      </c>
      <c r="E54" s="5">
        <v>5</v>
      </c>
      <c r="F54" s="5">
        <v>2</v>
      </c>
      <c r="G54" s="7">
        <v>45678</v>
      </c>
      <c r="H54" s="5" t="s">
        <v>91</v>
      </c>
      <c r="I54" s="5">
        <v>5</v>
      </c>
      <c r="J54" s="5" t="s">
        <v>60</v>
      </c>
      <c r="K54" s="6">
        <f>IF(J54=[8]Legend!$A$66,[8]Legend!$B$66,(IF(J54=[8]Legend!$A$67,[8]Legend!$B$67,IF(J54=[8]Legend!$A$68, [8]Legend!$B$68, IF(J54=[8]Legend!$A$69, [8]Legend!$B$69, IF(J54=[8]Legend!$A$70, [8]Legend!$B$70, IF(J54=[8]Legend!$A$71, [8]Legend!$B$71, IF(J54=[8]Legend!$A$72, [8]Legend!$B$72, (IF(J54=[8]Legend!$A$73, [8]Legend!$B$73, IF(J54=[8]Legend!$A$74, [8]Legend!$B$74, "")))))))))))</f>
        <v>25</v>
      </c>
      <c r="L54" s="5">
        <v>25</v>
      </c>
      <c r="M54" s="5">
        <v>2</v>
      </c>
      <c r="N54" s="5" t="s">
        <v>21</v>
      </c>
      <c r="O54" s="5" t="s">
        <v>128</v>
      </c>
    </row>
    <row r="55" spans="1:15" ht="14" customHeight="1" x14ac:dyDescent="0.45">
      <c r="A55" s="7">
        <v>45582</v>
      </c>
      <c r="B55" s="5" t="s">
        <v>68</v>
      </c>
      <c r="C55" s="5" t="s">
        <v>124</v>
      </c>
      <c r="D55" s="5">
        <v>2</v>
      </c>
      <c r="E55" s="5">
        <v>5</v>
      </c>
      <c r="F55" s="5">
        <v>2</v>
      </c>
      <c r="G55" s="7">
        <v>45678</v>
      </c>
      <c r="H55" s="5" t="s">
        <v>91</v>
      </c>
      <c r="I55" s="5">
        <v>5</v>
      </c>
      <c r="J55" s="5" t="s">
        <v>69</v>
      </c>
      <c r="K55" s="6">
        <f>IF(J55=[8]Legend!$A$66,[8]Legend!$B$66,(IF(J55=[8]Legend!$A$67,[8]Legend!$B$67,IF(J55=[8]Legend!$A$68, [8]Legend!$B$68, IF(J55=[8]Legend!$A$69, [8]Legend!$B$69, IF(J55=[8]Legend!$A$70, [8]Legend!$B$70, IF(J55=[8]Legend!$A$71, [8]Legend!$B$71, IF(J55=[8]Legend!$A$72, [8]Legend!$B$72, (IF(J55=[8]Legend!$A$73, [8]Legend!$B$73, IF(J55=[8]Legend!$A$74, [8]Legend!$B$74, "")))))))))))</f>
        <v>120</v>
      </c>
      <c r="L55" s="5">
        <v>120</v>
      </c>
      <c r="M55" s="5">
        <v>0</v>
      </c>
      <c r="N55" s="5"/>
      <c r="O55" s="5" t="s">
        <v>122</v>
      </c>
    </row>
    <row r="56" spans="1:15" ht="14" customHeight="1" x14ac:dyDescent="0.45">
      <c r="A56" s="7">
        <v>45582</v>
      </c>
      <c r="B56" s="5" t="s">
        <v>68</v>
      </c>
      <c r="C56" s="5" t="s">
        <v>124</v>
      </c>
      <c r="D56" s="5">
        <v>2</v>
      </c>
      <c r="E56" s="5">
        <v>5</v>
      </c>
      <c r="F56" s="5">
        <v>1</v>
      </c>
      <c r="G56" s="7">
        <v>45700</v>
      </c>
      <c r="H56" s="5" t="s">
        <v>91</v>
      </c>
      <c r="I56" s="5">
        <v>5</v>
      </c>
      <c r="J56" s="5" t="s">
        <v>60</v>
      </c>
      <c r="K56" s="6">
        <f>IF(J56=[10]Legend!$A$67,[10]Legend!$B$67,(IF(J56=[10]Legend!$A$68,[10]Legend!$B$68,IF(J56=[10]Legend!$A$69, [10]Legend!$B$69, IF(J56=[10]Legend!$A$70, [10]Legend!$B$70, IF(J56=[10]Legend!$A$71, [10]Legend!$B$71, IF(J56=[10]Legend!$A$72, [10]Legend!$B$72, IF(J56=[10]Legend!$A$73, [10]Legend!$B$73, (IF(J56=[10]Legend!$A$74, [10]Legend!$B$74, IF(J56=[10]Legend!$A$75, [10]Legend!$B$75, "")))))))))))</f>
        <v>25</v>
      </c>
      <c r="L56" s="5">
        <v>25</v>
      </c>
      <c r="M56" s="5">
        <v>0</v>
      </c>
      <c r="N56" s="5"/>
      <c r="O56" s="5"/>
    </row>
    <row r="57" spans="1:15" ht="14" customHeight="1" x14ac:dyDescent="0.45">
      <c r="A57" s="7">
        <v>45582</v>
      </c>
      <c r="B57" s="5" t="s">
        <v>68</v>
      </c>
      <c r="C57" s="5" t="s">
        <v>124</v>
      </c>
      <c r="D57" s="5">
        <v>2</v>
      </c>
      <c r="E57" s="5">
        <v>5</v>
      </c>
      <c r="F57" s="5">
        <v>1</v>
      </c>
      <c r="G57" s="7">
        <v>45700</v>
      </c>
      <c r="H57" s="5" t="s">
        <v>91</v>
      </c>
      <c r="I57" s="5">
        <v>5</v>
      </c>
      <c r="J57" s="5" t="s">
        <v>69</v>
      </c>
      <c r="K57" s="6">
        <f>IF(J57=[10]Legend!$A$67,[10]Legend!$B$67,(IF(J57=[10]Legend!$A$68,[10]Legend!$B$68,IF(J57=[10]Legend!$A$69, [10]Legend!$B$69, IF(J57=[10]Legend!$A$70, [10]Legend!$B$70, IF(J57=[10]Legend!$A$71, [10]Legend!$B$71, IF(J57=[10]Legend!$A$72, [10]Legend!$B$72, IF(J57=[10]Legend!$A$73, [10]Legend!$B$73, (IF(J57=[10]Legend!$A$74, [10]Legend!$B$74, IF(J57=[10]Legend!$A$75, [10]Legend!$B$75, "")))))))))))</f>
        <v>120</v>
      </c>
      <c r="L57" s="5">
        <v>119</v>
      </c>
      <c r="M57" s="5">
        <v>0</v>
      </c>
      <c r="N57" s="5"/>
      <c r="O57" s="5"/>
    </row>
    <row r="58" spans="1:15" ht="14" customHeight="1" x14ac:dyDescent="0.45">
      <c r="A58" s="7">
        <v>45589</v>
      </c>
      <c r="B58" s="5" t="s">
        <v>68</v>
      </c>
      <c r="C58" s="5" t="s">
        <v>16</v>
      </c>
      <c r="D58" s="5">
        <v>3</v>
      </c>
      <c r="E58" s="5">
        <v>5</v>
      </c>
      <c r="F58" s="5">
        <v>1</v>
      </c>
      <c r="G58" s="7">
        <v>45595</v>
      </c>
      <c r="H58" s="5" t="s">
        <v>17</v>
      </c>
      <c r="I58" s="5">
        <v>5</v>
      </c>
      <c r="J58" s="5" t="s">
        <v>60</v>
      </c>
      <c r="K58" s="6">
        <f>IF(J58=[1]Legend!$A$66,[1]Legend!$B$66,(IF(J58=[1]Legend!$A$67,[1]Legend!$B$67,IF(J58=[1]Legend!$A$68, [1]Legend!$B$68, IF(J58=[1]Legend!$A$69, [1]Legend!$B$69, IF(J58=[1]Legend!$A$70, [1]Legend!$B$70, IF(J58=[1]Legend!$A$71, [1]Legend!$B$71, IF(J58=[1]Legend!$A$72, [1]Legend!$B$72, (IF(J58=[1]Legend!$A$73, [1]Legend!$B$73, IF(J58=[1]Legend!$A$74, [1]Legend!$B$74, "")))))))))))</f>
        <v>25</v>
      </c>
      <c r="L58" s="5">
        <v>25</v>
      </c>
      <c r="M58" s="5"/>
      <c r="N58" s="5"/>
      <c r="O58" s="5" t="s">
        <v>72</v>
      </c>
    </row>
    <row r="59" spans="1:15" ht="14" customHeight="1" x14ac:dyDescent="0.45">
      <c r="A59" s="7">
        <v>45589</v>
      </c>
      <c r="B59" s="5" t="s">
        <v>68</v>
      </c>
      <c r="C59" s="5" t="s">
        <v>16</v>
      </c>
      <c r="D59" s="5">
        <v>3</v>
      </c>
      <c r="E59" s="5">
        <v>5</v>
      </c>
      <c r="F59" s="5">
        <v>1</v>
      </c>
      <c r="G59" s="7">
        <v>45595</v>
      </c>
      <c r="H59" s="5" t="s">
        <v>17</v>
      </c>
      <c r="I59" s="5">
        <v>5</v>
      </c>
      <c r="J59" s="5" t="s">
        <v>69</v>
      </c>
      <c r="K59" s="6">
        <f>IF(J59=[1]Legend!$A$66,[1]Legend!$B$66,(IF(J59=[1]Legend!$A$67,[1]Legend!$B$67,IF(J59=[1]Legend!$A$68, [1]Legend!$B$68, IF(J59=[1]Legend!$A$69, [1]Legend!$B$69, IF(J59=[1]Legend!$A$70, [1]Legend!$B$70, IF(J59=[1]Legend!$A$71, [1]Legend!$B$71, IF(J59=[1]Legend!$A$72, [1]Legend!$B$72, (IF(J59=[1]Legend!$A$73, [1]Legend!$B$73, IF(J59=[1]Legend!$A$74, [1]Legend!$B$74, "")))))))))))</f>
        <v>120</v>
      </c>
      <c r="L59" s="5">
        <v>119</v>
      </c>
      <c r="M59" s="5"/>
      <c r="N59" s="5"/>
      <c r="O59" s="5"/>
    </row>
    <row r="60" spans="1:15" ht="14" customHeight="1" x14ac:dyDescent="0.45">
      <c r="A60" s="7">
        <v>45589</v>
      </c>
      <c r="B60" s="5" t="s">
        <v>68</v>
      </c>
      <c r="C60" s="5" t="s">
        <v>16</v>
      </c>
      <c r="D60" s="5">
        <v>3</v>
      </c>
      <c r="E60" s="5">
        <v>5</v>
      </c>
      <c r="F60" s="5">
        <v>2</v>
      </c>
      <c r="G60" s="7">
        <v>45598</v>
      </c>
      <c r="H60" s="5" t="s">
        <v>17</v>
      </c>
      <c r="I60" s="5">
        <v>5</v>
      </c>
      <c r="J60" s="5" t="s">
        <v>60</v>
      </c>
      <c r="K60" s="6">
        <f>IF(J60=[1]Legend!$A$66,[1]Legend!$B$66,(IF(J60=[1]Legend!$A$67,[1]Legend!$B$67,IF(J60=[1]Legend!$A$68, [1]Legend!$B$68, IF(J60=[1]Legend!$A$69, [1]Legend!$B$69, IF(J60=[1]Legend!$A$70, [1]Legend!$B$70, IF(J60=[1]Legend!$A$71, [1]Legend!$B$71, IF(J60=[1]Legend!$A$72, [1]Legend!$B$72, (IF(J60=[1]Legend!$A$73, [1]Legend!$B$73, IF(J60=[1]Legend!$A$74, [1]Legend!$B$74, "")))))))))))</f>
        <v>25</v>
      </c>
      <c r="L60" s="5">
        <v>25</v>
      </c>
      <c r="M60" s="5"/>
      <c r="N60" s="5"/>
      <c r="O60" s="5" t="s">
        <v>73</v>
      </c>
    </row>
    <row r="61" spans="1:15" ht="14" customHeight="1" x14ac:dyDescent="0.45">
      <c r="A61" s="7">
        <v>45589</v>
      </c>
      <c r="B61" s="5" t="s">
        <v>68</v>
      </c>
      <c r="C61" s="5" t="s">
        <v>16</v>
      </c>
      <c r="D61" s="5">
        <v>3</v>
      </c>
      <c r="E61" s="5">
        <v>5</v>
      </c>
      <c r="F61" s="5">
        <v>2</v>
      </c>
      <c r="G61" s="7">
        <v>45598</v>
      </c>
      <c r="H61" s="5" t="s">
        <v>17</v>
      </c>
      <c r="I61" s="5">
        <v>5</v>
      </c>
      <c r="J61" s="5" t="s">
        <v>69</v>
      </c>
      <c r="K61" s="6">
        <f>IF(J61=[1]Legend!$A$66,[1]Legend!$B$66,(IF(J61=[1]Legend!$A$67,[1]Legend!$B$67,IF(J61=[1]Legend!$A$68, [1]Legend!$B$68, IF(J61=[1]Legend!$A$69, [1]Legend!$B$69, IF(J61=[1]Legend!$A$70, [1]Legend!$B$70, IF(J61=[1]Legend!$A$71, [1]Legend!$B$71, IF(J61=[1]Legend!$A$72, [1]Legend!$B$72, (IF(J61=[1]Legend!$A$73, [1]Legend!$B$73, IF(J61=[1]Legend!$A$74, [1]Legend!$B$74, "")))))))))))</f>
        <v>120</v>
      </c>
      <c r="L61" s="5">
        <v>120</v>
      </c>
      <c r="M61" s="5"/>
      <c r="N61" s="5"/>
      <c r="O61" s="5"/>
    </row>
    <row r="62" spans="1:15" ht="14" customHeight="1" x14ac:dyDescent="0.45">
      <c r="A62" s="7">
        <v>45575</v>
      </c>
      <c r="B62" s="5" t="s">
        <v>68</v>
      </c>
      <c r="C62" s="5" t="s">
        <v>124</v>
      </c>
      <c r="D62" s="5">
        <v>1</v>
      </c>
      <c r="E62" s="5">
        <v>6</v>
      </c>
      <c r="F62" s="5">
        <v>1</v>
      </c>
      <c r="G62" s="7">
        <v>45678</v>
      </c>
      <c r="H62" s="5" t="s">
        <v>91</v>
      </c>
      <c r="I62" s="5">
        <v>5</v>
      </c>
      <c r="J62" s="5" t="s">
        <v>60</v>
      </c>
      <c r="K62" s="6">
        <f>IF(J62=[8]Legend!$A$66,[8]Legend!$B$66,(IF(J62=[8]Legend!$A$67,[8]Legend!$B$67,IF(J62=[8]Legend!$A$68, [8]Legend!$B$68, IF(J62=[8]Legend!$A$69, [8]Legend!$B$69, IF(J62=[8]Legend!$A$70, [8]Legend!$B$70, IF(J62=[8]Legend!$A$71, [8]Legend!$B$71, IF(J62=[8]Legend!$A$72, [8]Legend!$B$72, (IF(J62=[8]Legend!$A$73, [8]Legend!$B$73, IF(J62=[8]Legend!$A$74, [8]Legend!$B$74, "")))))))))))</f>
        <v>25</v>
      </c>
      <c r="L62" s="5">
        <v>24</v>
      </c>
      <c r="M62" s="5">
        <v>1</v>
      </c>
      <c r="N62" s="5" t="s">
        <v>21</v>
      </c>
      <c r="O62" s="5" t="s">
        <v>125</v>
      </c>
    </row>
    <row r="63" spans="1:15" ht="14" customHeight="1" x14ac:dyDescent="0.45">
      <c r="A63" s="7">
        <v>45575</v>
      </c>
      <c r="B63" s="5" t="s">
        <v>68</v>
      </c>
      <c r="C63" s="5" t="s">
        <v>124</v>
      </c>
      <c r="D63" s="5">
        <v>1</v>
      </c>
      <c r="E63" s="5">
        <v>6</v>
      </c>
      <c r="F63" s="5">
        <v>1</v>
      </c>
      <c r="G63" s="7">
        <v>45678</v>
      </c>
      <c r="H63" s="5" t="s">
        <v>91</v>
      </c>
      <c r="I63" s="5">
        <v>5</v>
      </c>
      <c r="J63" s="5" t="s">
        <v>69</v>
      </c>
      <c r="K63" s="6">
        <f>IF(J63=[8]Legend!$A$66,[8]Legend!$B$66,(IF(J63=[8]Legend!$A$67,[8]Legend!$B$67,IF(J63=[8]Legend!$A$68, [8]Legend!$B$68, IF(J63=[8]Legend!$A$69, [8]Legend!$B$69, IF(J63=[8]Legend!$A$70, [8]Legend!$B$70, IF(J63=[8]Legend!$A$71, [8]Legend!$B$71, IF(J63=[8]Legend!$A$72, [8]Legend!$B$72, (IF(J63=[8]Legend!$A$73, [8]Legend!$B$73, IF(J63=[8]Legend!$A$74, [8]Legend!$B$74, "")))))))))))</f>
        <v>120</v>
      </c>
      <c r="L63" s="5">
        <v>120</v>
      </c>
      <c r="M63" s="5">
        <v>0</v>
      </c>
      <c r="N63" s="5"/>
      <c r="O63" s="5" t="s">
        <v>130</v>
      </c>
    </row>
    <row r="64" spans="1:15" ht="14" customHeight="1" x14ac:dyDescent="0.45">
      <c r="A64" s="7">
        <v>45575</v>
      </c>
      <c r="B64" s="5" t="s">
        <v>68</v>
      </c>
      <c r="C64" s="5" t="s">
        <v>90</v>
      </c>
      <c r="D64" s="5">
        <v>1</v>
      </c>
      <c r="E64" s="5">
        <v>6</v>
      </c>
      <c r="F64" s="5">
        <v>2</v>
      </c>
      <c r="G64" s="7">
        <v>45678</v>
      </c>
      <c r="H64" s="5" t="s">
        <v>91</v>
      </c>
      <c r="I64" s="5">
        <v>5</v>
      </c>
      <c r="J64" s="5" t="s">
        <v>60</v>
      </c>
      <c r="K64" s="6">
        <f>IF(J64=[8]Legend!$A$66,[8]Legend!$B$66,(IF(J64=[8]Legend!$A$67,[8]Legend!$B$67,IF(J64=[8]Legend!$A$68, [8]Legend!$B$68, IF(J64=[8]Legend!$A$69, [8]Legend!$B$69, IF(J64=[8]Legend!$A$70, [8]Legend!$B$70, IF(J64=[8]Legend!$A$71, [8]Legend!$B$71, IF(J64=[8]Legend!$A$72, [8]Legend!$B$72, (IF(J64=[8]Legend!$A$73, [8]Legend!$B$73, IF(J64=[8]Legend!$A$74, [8]Legend!$B$74, "")))))))))))</f>
        <v>25</v>
      </c>
      <c r="L64" s="5">
        <v>25</v>
      </c>
      <c r="M64" s="5">
        <v>1</v>
      </c>
      <c r="N64" s="5" t="s">
        <v>30</v>
      </c>
      <c r="O64" s="5" t="s">
        <v>127</v>
      </c>
    </row>
    <row r="65" spans="1:15" ht="14" customHeight="1" x14ac:dyDescent="0.45">
      <c r="A65" s="7">
        <v>45575</v>
      </c>
      <c r="B65" s="5" t="s">
        <v>68</v>
      </c>
      <c r="C65" s="5" t="s">
        <v>90</v>
      </c>
      <c r="D65" s="5">
        <v>1</v>
      </c>
      <c r="E65" s="5">
        <v>6</v>
      </c>
      <c r="F65" s="5">
        <v>2</v>
      </c>
      <c r="G65" s="7">
        <v>45678</v>
      </c>
      <c r="H65" s="5" t="s">
        <v>91</v>
      </c>
      <c r="I65" s="5">
        <v>5</v>
      </c>
      <c r="J65" s="5" t="s">
        <v>69</v>
      </c>
      <c r="K65" s="6">
        <f>IF(J65=[8]Legend!$A$66,[8]Legend!$B$66,(IF(J65=[8]Legend!$A$67,[8]Legend!$B$67,IF(J65=[8]Legend!$A$68, [8]Legend!$B$68, IF(J65=[8]Legend!$A$69, [8]Legend!$B$69, IF(J65=[8]Legend!$A$70, [8]Legend!$B$70, IF(J65=[8]Legend!$A$71, [8]Legend!$B$71, IF(J65=[8]Legend!$A$72, [8]Legend!$B$72, (IF(J65=[8]Legend!$A$73, [8]Legend!$B$73, IF(J65=[8]Legend!$A$74, [8]Legend!$B$74, "")))))))))))</f>
        <v>120</v>
      </c>
      <c r="L65" s="5">
        <v>120</v>
      </c>
      <c r="M65" s="5">
        <v>0</v>
      </c>
      <c r="N65" s="5"/>
      <c r="O65" s="5" t="s">
        <v>127</v>
      </c>
    </row>
    <row r="66" spans="1:15" ht="14" customHeight="1" x14ac:dyDescent="0.45">
      <c r="A66" s="7">
        <v>45582</v>
      </c>
      <c r="B66" s="5" t="s">
        <v>68</v>
      </c>
      <c r="C66" s="5" t="s">
        <v>124</v>
      </c>
      <c r="D66" s="5">
        <v>2</v>
      </c>
      <c r="E66" s="5">
        <v>6</v>
      </c>
      <c r="F66" s="5">
        <v>2</v>
      </c>
      <c r="G66" s="7">
        <v>45677</v>
      </c>
      <c r="H66" s="5" t="s">
        <v>91</v>
      </c>
      <c r="I66" s="5">
        <v>5</v>
      </c>
      <c r="J66" s="5" t="s">
        <v>60</v>
      </c>
      <c r="K66" s="6">
        <f>IF(J66=[8]Legend!$A$66,[8]Legend!$B$66,(IF(J66=[8]Legend!$A$67,[8]Legend!$B$67,IF(J66=[8]Legend!$A$68, [8]Legend!$B$68, IF(J66=[8]Legend!$A$69, [8]Legend!$B$69, IF(J66=[8]Legend!$A$70, [8]Legend!$B$70, IF(J66=[8]Legend!$A$71, [8]Legend!$B$71, IF(J66=[8]Legend!$A$72, [8]Legend!$B$72, (IF(J66=[8]Legend!$A$73, [8]Legend!$B$73, IF(J66=[8]Legend!$A$74, [8]Legend!$B$74, "")))))))))))</f>
        <v>25</v>
      </c>
      <c r="L66" s="5">
        <v>25</v>
      </c>
      <c r="M66" s="5">
        <v>0</v>
      </c>
      <c r="N66" s="5"/>
      <c r="O66" s="5"/>
    </row>
    <row r="67" spans="1:15" ht="14" customHeight="1" x14ac:dyDescent="0.45">
      <c r="A67" s="7">
        <v>45582</v>
      </c>
      <c r="B67" s="5" t="s">
        <v>68</v>
      </c>
      <c r="C67" s="5" t="s">
        <v>124</v>
      </c>
      <c r="D67" s="5">
        <v>2</v>
      </c>
      <c r="E67" s="5">
        <v>6</v>
      </c>
      <c r="F67" s="5">
        <v>2</v>
      </c>
      <c r="G67" s="7">
        <v>45677</v>
      </c>
      <c r="H67" s="5" t="s">
        <v>91</v>
      </c>
      <c r="I67" s="5">
        <v>5</v>
      </c>
      <c r="J67" s="5" t="s">
        <v>69</v>
      </c>
      <c r="K67" s="6">
        <f>IF(J67=[8]Legend!$A$66,[8]Legend!$B$66,(IF(J67=[8]Legend!$A$67,[8]Legend!$B$67,IF(J67=[8]Legend!$A$68, [8]Legend!$B$68, IF(J67=[8]Legend!$A$69, [8]Legend!$B$69, IF(J67=[8]Legend!$A$70, [8]Legend!$B$70, IF(J67=[8]Legend!$A$71, [8]Legend!$B$71, IF(J67=[8]Legend!$A$72, [8]Legend!$B$72, (IF(J67=[8]Legend!$A$73, [8]Legend!$B$73, IF(J67=[8]Legend!$A$74, [8]Legend!$B$74, "")))))))))))</f>
        <v>120</v>
      </c>
      <c r="L67" s="5">
        <v>120</v>
      </c>
      <c r="M67" s="5">
        <v>0</v>
      </c>
      <c r="N67" s="5"/>
      <c r="O67" s="5"/>
    </row>
    <row r="68" spans="1:15" ht="14" customHeight="1" x14ac:dyDescent="0.45">
      <c r="A68" s="7">
        <v>45582</v>
      </c>
      <c r="B68" s="5" t="s">
        <v>68</v>
      </c>
      <c r="C68" s="5" t="s">
        <v>124</v>
      </c>
      <c r="D68" s="5">
        <v>2</v>
      </c>
      <c r="E68" s="5">
        <v>6</v>
      </c>
      <c r="F68" s="5">
        <v>1</v>
      </c>
      <c r="G68" s="7">
        <v>45700</v>
      </c>
      <c r="H68" s="5" t="s">
        <v>91</v>
      </c>
      <c r="I68" s="5">
        <v>5</v>
      </c>
      <c r="J68" s="5" t="s">
        <v>60</v>
      </c>
      <c r="K68" s="6">
        <f>IF(J68=[10]Legend!$A$67,[10]Legend!$B$67,(IF(J68=[10]Legend!$A$68,[10]Legend!$B$68,IF(J68=[10]Legend!$A$69, [10]Legend!$B$69, IF(J68=[10]Legend!$A$70, [10]Legend!$B$70, IF(J68=[10]Legend!$A$71, [10]Legend!$B$71, IF(J68=[10]Legend!$A$72, [10]Legend!$B$72, IF(J68=[10]Legend!$A$73, [10]Legend!$B$73, (IF(J68=[10]Legend!$A$74, [10]Legend!$B$74, IF(J68=[10]Legend!$A$75, [10]Legend!$B$75, "")))))))))))</f>
        <v>25</v>
      </c>
      <c r="L68" s="5">
        <v>25</v>
      </c>
      <c r="M68" s="5">
        <v>0</v>
      </c>
      <c r="N68" s="5"/>
      <c r="O68" s="5"/>
    </row>
    <row r="69" spans="1:15" ht="14" customHeight="1" x14ac:dyDescent="0.45">
      <c r="A69" s="7">
        <v>45582</v>
      </c>
      <c r="B69" s="5" t="s">
        <v>68</v>
      </c>
      <c r="C69" s="5" t="s">
        <v>124</v>
      </c>
      <c r="D69" s="5">
        <v>2</v>
      </c>
      <c r="E69" s="5">
        <v>6</v>
      </c>
      <c r="F69" s="5">
        <v>1</v>
      </c>
      <c r="G69" s="7">
        <v>45700</v>
      </c>
      <c r="H69" s="5" t="s">
        <v>91</v>
      </c>
      <c r="I69" s="5">
        <v>5</v>
      </c>
      <c r="J69" s="5" t="s">
        <v>69</v>
      </c>
      <c r="K69" s="6">
        <f>IF(J69=[10]Legend!$A$67,[10]Legend!$B$67,(IF(J69=[10]Legend!$A$68,[10]Legend!$B$68,IF(J69=[10]Legend!$A$69, [10]Legend!$B$69, IF(J69=[10]Legend!$A$70, [10]Legend!$B$70, IF(J69=[10]Legend!$A$71, [10]Legend!$B$71, IF(J69=[10]Legend!$A$72, [10]Legend!$B$72, IF(J69=[10]Legend!$A$73, [10]Legend!$B$73, (IF(J69=[10]Legend!$A$74, [10]Legend!$B$74, IF(J69=[10]Legend!$A$75, [10]Legend!$B$75, "")))))))))))</f>
        <v>120</v>
      </c>
      <c r="L69" s="5">
        <v>120</v>
      </c>
      <c r="M69" s="5">
        <v>0</v>
      </c>
      <c r="N69" s="5"/>
      <c r="O69" s="5"/>
    </row>
    <row r="70" spans="1:15" ht="14" customHeight="1" x14ac:dyDescent="0.45">
      <c r="A70" s="7">
        <v>45589</v>
      </c>
      <c r="B70" s="5" t="s">
        <v>68</v>
      </c>
      <c r="C70" s="5" t="s">
        <v>16</v>
      </c>
      <c r="D70" s="5">
        <v>3</v>
      </c>
      <c r="E70" s="5">
        <v>6</v>
      </c>
      <c r="F70" s="5">
        <v>1</v>
      </c>
      <c r="G70" s="7">
        <v>45598</v>
      </c>
      <c r="H70" s="5" t="s">
        <v>17</v>
      </c>
      <c r="I70" s="5">
        <v>5</v>
      </c>
      <c r="J70" s="5" t="s">
        <v>60</v>
      </c>
      <c r="K70" s="6">
        <f>IF(J70=[1]Legend!$A$66,[1]Legend!$B$66,(IF(J70=[1]Legend!$A$67,[1]Legend!$B$67,IF(J70=[1]Legend!$A$68, [1]Legend!$B$68, IF(J70=[1]Legend!$A$69, [1]Legend!$B$69, IF(J70=[1]Legend!$A$70, [1]Legend!$B$70, IF(J70=[1]Legend!$A$71, [1]Legend!$B$71, IF(J70=[1]Legend!$A$72, [1]Legend!$B$72, (IF(J70=[1]Legend!$A$73, [1]Legend!$B$73, IF(J70=[1]Legend!$A$74, [1]Legend!$B$74, "")))))))))))</f>
        <v>25</v>
      </c>
      <c r="L70" s="5">
        <v>25</v>
      </c>
      <c r="M70" s="5"/>
      <c r="N70" s="5"/>
      <c r="O70" s="5"/>
    </row>
    <row r="71" spans="1:15" ht="14" customHeight="1" x14ac:dyDescent="0.45">
      <c r="A71" s="7">
        <v>45589</v>
      </c>
      <c r="B71" s="5" t="s">
        <v>68</v>
      </c>
      <c r="C71" s="5" t="s">
        <v>16</v>
      </c>
      <c r="D71" s="5">
        <v>3</v>
      </c>
      <c r="E71" s="5">
        <v>6</v>
      </c>
      <c r="F71" s="5">
        <v>1</v>
      </c>
      <c r="G71" s="7">
        <v>45598</v>
      </c>
      <c r="H71" s="5" t="s">
        <v>17</v>
      </c>
      <c r="I71" s="5">
        <v>5</v>
      </c>
      <c r="J71" s="5" t="s">
        <v>69</v>
      </c>
      <c r="K71" s="6">
        <f>IF(J71=[1]Legend!$A$66,[1]Legend!$B$66,(IF(J71=[1]Legend!$A$67,[1]Legend!$B$67,IF(J71=[1]Legend!$A$68, [1]Legend!$B$68, IF(J71=[1]Legend!$A$69, [1]Legend!$B$69, IF(J71=[1]Legend!$A$70, [1]Legend!$B$70, IF(J71=[1]Legend!$A$71, [1]Legend!$B$71, IF(J71=[1]Legend!$A$72, [1]Legend!$B$72, (IF(J71=[1]Legend!$A$73, [1]Legend!$B$73, IF(J71=[1]Legend!$A$74, [1]Legend!$B$74, "")))))))))))</f>
        <v>120</v>
      </c>
      <c r="L71" s="5">
        <v>120</v>
      </c>
      <c r="M71" s="5"/>
      <c r="N71" s="5"/>
      <c r="O71" s="5"/>
    </row>
    <row r="72" spans="1:15" ht="14" customHeight="1" x14ac:dyDescent="0.45">
      <c r="A72" s="7">
        <v>45589</v>
      </c>
      <c r="B72" s="5" t="s">
        <v>68</v>
      </c>
      <c r="C72" s="5" t="s">
        <v>16</v>
      </c>
      <c r="D72" s="5">
        <v>3</v>
      </c>
      <c r="E72" s="5">
        <v>6</v>
      </c>
      <c r="F72" s="5">
        <v>2</v>
      </c>
      <c r="G72" s="7">
        <v>45598</v>
      </c>
      <c r="H72" s="5" t="s">
        <v>17</v>
      </c>
      <c r="I72" s="5">
        <v>5</v>
      </c>
      <c r="J72" s="5" t="s">
        <v>60</v>
      </c>
      <c r="K72" s="6">
        <f>IF(J72=[1]Legend!$A$66,[1]Legend!$B$66,(IF(J72=[1]Legend!$A$67,[1]Legend!$B$67,IF(J72=[1]Legend!$A$68, [1]Legend!$B$68, IF(J72=[1]Legend!$A$69, [1]Legend!$B$69, IF(J72=[1]Legend!$A$70, [1]Legend!$B$70, IF(J72=[1]Legend!$A$71, [1]Legend!$B$71, IF(J72=[1]Legend!$A$72, [1]Legend!$B$72, (IF(J72=[1]Legend!$A$73, [1]Legend!$B$73, IF(J72=[1]Legend!$A$74, [1]Legend!$B$74, "")))))))))))</f>
        <v>25</v>
      </c>
      <c r="L72" s="5">
        <v>25</v>
      </c>
      <c r="M72" s="5"/>
      <c r="N72" s="5"/>
      <c r="O72" s="5"/>
    </row>
    <row r="73" spans="1:15" ht="14" customHeight="1" x14ac:dyDescent="0.45">
      <c r="A73" s="7">
        <v>45589</v>
      </c>
      <c r="B73" s="5" t="s">
        <v>68</v>
      </c>
      <c r="C73" s="5" t="s">
        <v>16</v>
      </c>
      <c r="D73" s="5">
        <v>3</v>
      </c>
      <c r="E73" s="5">
        <v>6</v>
      </c>
      <c r="F73" s="5">
        <v>2</v>
      </c>
      <c r="G73" s="7">
        <v>45598</v>
      </c>
      <c r="H73" s="5" t="s">
        <v>17</v>
      </c>
      <c r="I73" s="5">
        <v>5</v>
      </c>
      <c r="J73" s="5" t="s">
        <v>69</v>
      </c>
      <c r="K73" s="6">
        <f>IF(J73=[1]Legend!$A$66,[1]Legend!$B$66,(IF(J73=[1]Legend!$A$67,[1]Legend!$B$67,IF(J73=[1]Legend!$A$68, [1]Legend!$B$68, IF(J73=[1]Legend!$A$69, [1]Legend!$B$69, IF(J73=[1]Legend!$A$70, [1]Legend!$B$70, IF(J73=[1]Legend!$A$71, [1]Legend!$B$71, IF(J73=[1]Legend!$A$72, [1]Legend!$B$72, (IF(J73=[1]Legend!$A$73, [1]Legend!$B$73, IF(J73=[1]Legend!$A$74, [1]Legend!$B$74, "")))))))))))</f>
        <v>120</v>
      </c>
      <c r="L73" s="5">
        <v>120</v>
      </c>
      <c r="M73" s="5"/>
      <c r="N73" s="5"/>
      <c r="O73" s="5"/>
    </row>
    <row r="74" spans="1:15" ht="14" customHeight="1" x14ac:dyDescent="0.45">
      <c r="A74" s="7">
        <v>45575</v>
      </c>
      <c r="B74" s="5" t="s">
        <v>68</v>
      </c>
      <c r="C74" s="5" t="s">
        <v>90</v>
      </c>
      <c r="D74" s="5">
        <v>1</v>
      </c>
      <c r="E74" s="5">
        <v>7</v>
      </c>
      <c r="F74" s="5">
        <v>1</v>
      </c>
      <c r="G74" s="7">
        <v>45706</v>
      </c>
      <c r="H74" s="5" t="s">
        <v>91</v>
      </c>
      <c r="I74" s="5">
        <v>5</v>
      </c>
      <c r="J74" s="5" t="s">
        <v>60</v>
      </c>
      <c r="K74" s="6">
        <f>IF(J74=[3]Legend!$A$67,[3]Legend!$B$67,(IF(J74=[3]Legend!$A$68,[3]Legend!$B$68,IF(J74=[3]Legend!$A$69, [3]Legend!$B$69, IF(J74=[3]Legend!$A$70, [3]Legend!$B$70, IF(J74=[3]Legend!$A$71, [3]Legend!$B$71, IF(J74=[3]Legend!$A$72, [3]Legend!$B$72, IF(J74=[3]Legend!$A$73, [3]Legend!$B$73, (IF(J74=[3]Legend!$A$74, [3]Legend!$B$74, IF(J74=[3]Legend!$A$75, [3]Legend!$B$75, "")))))))))))</f>
        <v>25</v>
      </c>
      <c r="L74" s="5">
        <v>24</v>
      </c>
      <c r="M74" s="5">
        <v>1</v>
      </c>
      <c r="N74" s="5" t="s">
        <v>30</v>
      </c>
      <c r="O74" s="5"/>
    </row>
    <row r="75" spans="1:15" ht="14" customHeight="1" x14ac:dyDescent="0.45">
      <c r="A75" s="7">
        <v>45575</v>
      </c>
      <c r="B75" s="5" t="s">
        <v>68</v>
      </c>
      <c r="C75" s="5" t="s">
        <v>90</v>
      </c>
      <c r="D75" s="5">
        <v>1</v>
      </c>
      <c r="E75" s="5">
        <v>7</v>
      </c>
      <c r="F75" s="5">
        <v>1</v>
      </c>
      <c r="G75" s="7">
        <v>45706</v>
      </c>
      <c r="H75" s="5" t="s">
        <v>91</v>
      </c>
      <c r="I75" s="5">
        <v>5</v>
      </c>
      <c r="J75" s="5" t="s">
        <v>69</v>
      </c>
      <c r="K75" s="6">
        <f>IF(J75=[3]Legend!$A$67,[3]Legend!$B$67,(IF(J75=[3]Legend!$A$68,[3]Legend!$B$68,IF(J75=[3]Legend!$A$69, [3]Legend!$B$69, IF(J75=[3]Legend!$A$70, [3]Legend!$B$70, IF(J75=[3]Legend!$A$71, [3]Legend!$B$71, IF(J75=[3]Legend!$A$72, [3]Legend!$B$72, IF(J75=[3]Legend!$A$73, [3]Legend!$B$73, (IF(J75=[3]Legend!$A$74, [3]Legend!$B$74, IF(J75=[3]Legend!$A$75, [3]Legend!$B$75, "")))))))))))</f>
        <v>120</v>
      </c>
      <c r="L75" s="5">
        <v>121</v>
      </c>
      <c r="M75" s="5">
        <v>1</v>
      </c>
      <c r="N75" s="5" t="s">
        <v>30</v>
      </c>
      <c r="O75" s="5"/>
    </row>
    <row r="76" spans="1:15" ht="14" customHeight="1" x14ac:dyDescent="0.45">
      <c r="A76" s="7">
        <v>45575</v>
      </c>
      <c r="B76" s="5" t="s">
        <v>68</v>
      </c>
      <c r="C76" s="5" t="s">
        <v>90</v>
      </c>
      <c r="D76" s="5">
        <v>1</v>
      </c>
      <c r="E76" s="5">
        <v>7</v>
      </c>
      <c r="F76" s="5">
        <v>2</v>
      </c>
      <c r="G76" s="7">
        <v>45705</v>
      </c>
      <c r="H76" s="5" t="s">
        <v>91</v>
      </c>
      <c r="I76" s="5">
        <v>5</v>
      </c>
      <c r="J76" s="5" t="s">
        <v>60</v>
      </c>
      <c r="K76" s="6">
        <f>IF(J76=[10]Legend!$A$67,[10]Legend!$B$67,(IF(J76=[10]Legend!$A$68,[10]Legend!$B$68,IF(J76=[10]Legend!$A$69, [10]Legend!$B$69, IF(J76=[10]Legend!$A$70, [10]Legend!$B$70, IF(J76=[10]Legend!$A$71, [10]Legend!$B$71, IF(J76=[10]Legend!$A$72, [10]Legend!$B$72, IF(J76=[10]Legend!$A$73, [10]Legend!$B$73, (IF(J76=[10]Legend!$A$74, [10]Legend!$B$74, IF(J76=[10]Legend!$A$75, [10]Legend!$B$75, "")))))))))))</f>
        <v>25</v>
      </c>
      <c r="L76" s="5">
        <v>25</v>
      </c>
      <c r="M76" s="5">
        <v>0</v>
      </c>
      <c r="N76" s="5"/>
      <c r="O76" s="5"/>
    </row>
    <row r="77" spans="1:15" ht="14" customHeight="1" x14ac:dyDescent="0.45">
      <c r="A77" s="7">
        <v>45575</v>
      </c>
      <c r="B77" s="5" t="s">
        <v>68</v>
      </c>
      <c r="C77" s="5" t="s">
        <v>90</v>
      </c>
      <c r="D77" s="5">
        <v>1</v>
      </c>
      <c r="E77" s="5">
        <v>7</v>
      </c>
      <c r="F77" s="5">
        <v>2</v>
      </c>
      <c r="G77" s="7">
        <v>45705</v>
      </c>
      <c r="H77" s="5" t="s">
        <v>91</v>
      </c>
      <c r="I77" s="5">
        <v>5</v>
      </c>
      <c r="J77" s="5" t="s">
        <v>69</v>
      </c>
      <c r="K77" s="6">
        <f>IF(J77=[10]Legend!$A$67,[10]Legend!$B$67,(IF(J77=[10]Legend!$A$68,[10]Legend!$B$68,IF(J77=[10]Legend!$A$69, [10]Legend!$B$69, IF(J77=[10]Legend!$A$70, [10]Legend!$B$70, IF(J77=[10]Legend!$A$71, [10]Legend!$B$71, IF(J77=[10]Legend!$A$72, [10]Legend!$B$72, IF(J77=[10]Legend!$A$73, [10]Legend!$B$73, (IF(J77=[10]Legend!$A$74, [10]Legend!$B$74, IF(J77=[10]Legend!$A$75, [10]Legend!$B$75, "")))))))))))</f>
        <v>120</v>
      </c>
      <c r="L77" s="5">
        <v>122</v>
      </c>
      <c r="M77" s="5">
        <v>0</v>
      </c>
      <c r="N77" s="5"/>
      <c r="O77" s="5"/>
    </row>
    <row r="78" spans="1:15" ht="14" customHeight="1" x14ac:dyDescent="0.45">
      <c r="A78" s="7">
        <v>45582</v>
      </c>
      <c r="B78" s="5" t="s">
        <v>68</v>
      </c>
      <c r="C78" s="5" t="s">
        <v>124</v>
      </c>
      <c r="D78" s="5">
        <v>2</v>
      </c>
      <c r="E78" s="5">
        <v>7</v>
      </c>
      <c r="F78" s="5">
        <v>2</v>
      </c>
      <c r="G78" s="7">
        <v>45677</v>
      </c>
      <c r="H78" s="5" t="s">
        <v>91</v>
      </c>
      <c r="I78" s="5">
        <v>5</v>
      </c>
      <c r="J78" s="5" t="s">
        <v>60</v>
      </c>
      <c r="K78" s="6">
        <f>IF(J78=[8]Legend!$A$66,[8]Legend!$B$66,(IF(J78=[8]Legend!$A$67,[8]Legend!$B$67,IF(J78=[8]Legend!$A$68, [8]Legend!$B$68, IF(J78=[8]Legend!$A$69, [8]Legend!$B$69, IF(J78=[8]Legend!$A$70, [8]Legend!$B$70, IF(J78=[8]Legend!$A$71, [8]Legend!$B$71, IF(J78=[8]Legend!$A$72, [8]Legend!$B$72, (IF(J78=[8]Legend!$A$73, [8]Legend!$B$73, IF(J78=[8]Legend!$A$74, [8]Legend!$B$74, "")))))))))))</f>
        <v>25</v>
      </c>
      <c r="L78" s="5">
        <v>25</v>
      </c>
      <c r="M78" s="5">
        <v>1</v>
      </c>
      <c r="N78" s="5"/>
      <c r="O78" s="5" t="s">
        <v>30</v>
      </c>
    </row>
    <row r="79" spans="1:15" ht="14" customHeight="1" x14ac:dyDescent="0.45">
      <c r="A79" s="7">
        <v>45582</v>
      </c>
      <c r="B79" s="5" t="s">
        <v>68</v>
      </c>
      <c r="C79" s="5" t="s">
        <v>124</v>
      </c>
      <c r="D79" s="5">
        <v>2</v>
      </c>
      <c r="E79" s="5">
        <v>7</v>
      </c>
      <c r="F79" s="5">
        <v>2</v>
      </c>
      <c r="G79" s="7">
        <v>45677</v>
      </c>
      <c r="H79" s="5" t="s">
        <v>91</v>
      </c>
      <c r="I79" s="5">
        <v>5</v>
      </c>
      <c r="J79" s="5" t="s">
        <v>69</v>
      </c>
      <c r="K79" s="6">
        <f>IF(J79=[8]Legend!$A$66,[8]Legend!$B$66,(IF(J79=[8]Legend!$A$67,[8]Legend!$B$67,IF(J79=[8]Legend!$A$68, [8]Legend!$B$68, IF(J79=[8]Legend!$A$69, [8]Legend!$B$69, IF(J79=[8]Legend!$A$70, [8]Legend!$B$70, IF(J79=[8]Legend!$A$71, [8]Legend!$B$71, IF(J79=[8]Legend!$A$72, [8]Legend!$B$72, (IF(J79=[8]Legend!$A$73, [8]Legend!$B$73, IF(J79=[8]Legend!$A$74, [8]Legend!$B$74, "")))))))))))</f>
        <v>120</v>
      </c>
      <c r="L79" s="5">
        <v>0</v>
      </c>
      <c r="M79" s="5">
        <v>0</v>
      </c>
      <c r="N79" s="5"/>
      <c r="O79" s="5"/>
    </row>
    <row r="80" spans="1:15" ht="14" customHeight="1" x14ac:dyDescent="0.45">
      <c r="A80" s="7">
        <v>45582</v>
      </c>
      <c r="B80" s="5" t="s">
        <v>68</v>
      </c>
      <c r="C80" s="5" t="s">
        <v>124</v>
      </c>
      <c r="D80" s="5">
        <v>2</v>
      </c>
      <c r="E80" s="5">
        <v>7</v>
      </c>
      <c r="F80" s="5">
        <v>1</v>
      </c>
      <c r="G80" s="7">
        <v>45700</v>
      </c>
      <c r="H80" s="5" t="s">
        <v>91</v>
      </c>
      <c r="I80" s="5">
        <v>5</v>
      </c>
      <c r="J80" s="5" t="s">
        <v>60</v>
      </c>
      <c r="K80" s="6">
        <f>IF(J80=[10]Legend!$A$67,[10]Legend!$B$67,(IF(J80=[10]Legend!$A$68,[10]Legend!$B$68,IF(J80=[10]Legend!$A$69, [10]Legend!$B$69, IF(J80=[10]Legend!$A$70, [10]Legend!$B$70, IF(J80=[10]Legend!$A$71, [10]Legend!$B$71, IF(J80=[10]Legend!$A$72, [10]Legend!$B$72, IF(J80=[10]Legend!$A$73, [10]Legend!$B$73, (IF(J80=[10]Legend!$A$74, [10]Legend!$B$74, IF(J80=[10]Legend!$A$75, [10]Legend!$B$75, "")))))))))))</f>
        <v>25</v>
      </c>
      <c r="L80" s="5">
        <v>25</v>
      </c>
      <c r="M80" s="5">
        <v>0</v>
      </c>
      <c r="N80" s="5"/>
      <c r="O80" s="5" t="s">
        <v>139</v>
      </c>
    </row>
    <row r="81" spans="1:15" ht="14" customHeight="1" x14ac:dyDescent="0.45">
      <c r="A81" s="7">
        <v>45582</v>
      </c>
      <c r="B81" s="5" t="s">
        <v>68</v>
      </c>
      <c r="C81" s="5" t="s">
        <v>124</v>
      </c>
      <c r="D81" s="5">
        <v>2</v>
      </c>
      <c r="E81" s="5">
        <v>7</v>
      </c>
      <c r="F81" s="5">
        <v>1</v>
      </c>
      <c r="G81" s="7">
        <v>45700</v>
      </c>
      <c r="H81" s="5" t="s">
        <v>91</v>
      </c>
      <c r="I81" s="5">
        <v>5</v>
      </c>
      <c r="J81" s="5" t="s">
        <v>69</v>
      </c>
      <c r="K81" s="6">
        <f>IF(J81=[10]Legend!$A$67,[10]Legend!$B$67,(IF(J81=[10]Legend!$A$68,[10]Legend!$B$68,IF(J81=[10]Legend!$A$69, [10]Legend!$B$69, IF(J81=[10]Legend!$A$70, [10]Legend!$B$70, IF(J81=[10]Legend!$A$71, [10]Legend!$B$71, IF(J81=[10]Legend!$A$72, [10]Legend!$B$72, IF(J81=[10]Legend!$A$73, [10]Legend!$B$73, (IF(J81=[10]Legend!$A$74, [10]Legend!$B$74, IF(J81=[10]Legend!$A$75, [10]Legend!$B$75, "")))))))))))</f>
        <v>120</v>
      </c>
      <c r="L81" s="5">
        <v>120</v>
      </c>
      <c r="M81" s="5">
        <v>2</v>
      </c>
      <c r="N81" s="5" t="s">
        <v>30</v>
      </c>
      <c r="O81" s="5" t="s">
        <v>139</v>
      </c>
    </row>
    <row r="82" spans="1:15" ht="14" customHeight="1" x14ac:dyDescent="0.45">
      <c r="A82" s="7">
        <v>45589</v>
      </c>
      <c r="B82" s="5" t="s">
        <v>68</v>
      </c>
      <c r="C82" s="5" t="s">
        <v>16</v>
      </c>
      <c r="D82" s="5">
        <v>3</v>
      </c>
      <c r="E82" s="5">
        <v>7</v>
      </c>
      <c r="F82" s="5">
        <v>1</v>
      </c>
      <c r="G82" s="7">
        <v>45598</v>
      </c>
      <c r="H82" s="5" t="s">
        <v>17</v>
      </c>
      <c r="I82" s="5">
        <v>5</v>
      </c>
      <c r="J82" s="5" t="s">
        <v>60</v>
      </c>
      <c r="K82" s="6">
        <f>IF(J82=[1]Legend!$A$66,[1]Legend!$B$66,(IF(J82=[1]Legend!$A$67,[1]Legend!$B$67,IF(J82=[1]Legend!$A$68, [1]Legend!$B$68, IF(J82=[1]Legend!$A$69, [1]Legend!$B$69, IF(J82=[1]Legend!$A$70, [1]Legend!$B$70, IF(J82=[1]Legend!$A$71, [1]Legend!$B$71, IF(J82=[1]Legend!$A$72, [1]Legend!$B$72, (IF(J82=[1]Legend!$A$73, [1]Legend!$B$73, IF(J82=[1]Legend!$A$74, [1]Legend!$B$74, "")))))))))))</f>
        <v>25</v>
      </c>
      <c r="L82" s="5">
        <v>25</v>
      </c>
      <c r="M82" s="5"/>
      <c r="N82" s="5"/>
      <c r="O82" s="5" t="s">
        <v>41</v>
      </c>
    </row>
    <row r="83" spans="1:15" ht="14" customHeight="1" x14ac:dyDescent="0.45">
      <c r="A83" s="7">
        <v>45589</v>
      </c>
      <c r="B83" s="5" t="s">
        <v>68</v>
      </c>
      <c r="C83" s="5" t="s">
        <v>16</v>
      </c>
      <c r="D83" s="5">
        <v>3</v>
      </c>
      <c r="E83" s="5">
        <v>7</v>
      </c>
      <c r="F83" s="5">
        <v>1</v>
      </c>
      <c r="G83" s="7">
        <v>45598</v>
      </c>
      <c r="H83" s="5" t="s">
        <v>17</v>
      </c>
      <c r="I83" s="5">
        <v>5</v>
      </c>
      <c r="J83" s="5" t="s">
        <v>69</v>
      </c>
      <c r="K83" s="6">
        <f>IF(J83=[1]Legend!$A$66,[1]Legend!$B$66,(IF(J83=[1]Legend!$A$67,[1]Legend!$B$67,IF(J83=[1]Legend!$A$68, [1]Legend!$B$68, IF(J83=[1]Legend!$A$69, [1]Legend!$B$69, IF(J83=[1]Legend!$A$70, [1]Legend!$B$70, IF(J83=[1]Legend!$A$71, [1]Legend!$B$71, IF(J83=[1]Legend!$A$72, [1]Legend!$B$72, (IF(J83=[1]Legend!$A$73, [1]Legend!$B$73, IF(J83=[1]Legend!$A$74, [1]Legend!$B$74, "")))))))))))</f>
        <v>120</v>
      </c>
      <c r="L83" s="5">
        <v>120</v>
      </c>
      <c r="M83" s="5"/>
      <c r="N83" s="5"/>
      <c r="O83" s="5"/>
    </row>
    <row r="84" spans="1:15" ht="14" customHeight="1" x14ac:dyDescent="0.45">
      <c r="A84" s="7">
        <v>45589</v>
      </c>
      <c r="B84" s="5" t="s">
        <v>68</v>
      </c>
      <c r="C84" s="5" t="s">
        <v>16</v>
      </c>
      <c r="D84" s="5">
        <v>3</v>
      </c>
      <c r="E84" s="5">
        <v>7</v>
      </c>
      <c r="F84" s="5">
        <v>2</v>
      </c>
      <c r="G84" s="7">
        <v>45598</v>
      </c>
      <c r="H84" s="5" t="s">
        <v>17</v>
      </c>
      <c r="I84" s="5">
        <v>5</v>
      </c>
      <c r="J84" s="5" t="s">
        <v>60</v>
      </c>
      <c r="K84" s="6">
        <f>IF(J84=[1]Legend!$A$66,[1]Legend!$B$66,(IF(J84=[1]Legend!$A$67,[1]Legend!$B$67,IF(J84=[1]Legend!$A$68, [1]Legend!$B$68, IF(J84=[1]Legend!$A$69, [1]Legend!$B$69, IF(J84=[1]Legend!$A$70, [1]Legend!$B$70, IF(J84=[1]Legend!$A$71, [1]Legend!$B$71, IF(J84=[1]Legend!$A$72, [1]Legend!$B$72, (IF(J84=[1]Legend!$A$73, [1]Legend!$B$73, IF(J84=[1]Legend!$A$74, [1]Legend!$B$74, "")))))))))))</f>
        <v>25</v>
      </c>
      <c r="L84" s="5">
        <v>25</v>
      </c>
      <c r="M84" s="5"/>
      <c r="N84" s="5"/>
      <c r="O84" s="5"/>
    </row>
    <row r="85" spans="1:15" ht="14" customHeight="1" x14ac:dyDescent="0.45">
      <c r="A85" s="7">
        <v>45589</v>
      </c>
      <c r="B85" s="5" t="s">
        <v>68</v>
      </c>
      <c r="C85" s="5" t="s">
        <v>16</v>
      </c>
      <c r="D85" s="5">
        <v>3</v>
      </c>
      <c r="E85" s="5">
        <v>7</v>
      </c>
      <c r="F85" s="5">
        <v>2</v>
      </c>
      <c r="G85" s="7">
        <v>45598</v>
      </c>
      <c r="H85" s="5" t="s">
        <v>17</v>
      </c>
      <c r="I85" s="5">
        <v>5</v>
      </c>
      <c r="J85" s="5" t="s">
        <v>69</v>
      </c>
      <c r="K85" s="6">
        <f>IF(J85=[1]Legend!$A$66,[1]Legend!$B$66,(IF(J85=[1]Legend!$A$67,[1]Legend!$B$67,IF(J85=[1]Legend!$A$68, [1]Legend!$B$68, IF(J85=[1]Legend!$A$69, [1]Legend!$B$69, IF(J85=[1]Legend!$A$70, [1]Legend!$B$70, IF(J85=[1]Legend!$A$71, [1]Legend!$B$71, IF(J85=[1]Legend!$A$72, [1]Legend!$B$72, (IF(J85=[1]Legend!$A$73, [1]Legend!$B$73, IF(J85=[1]Legend!$A$74, [1]Legend!$B$74, "")))))))))))</f>
        <v>120</v>
      </c>
      <c r="L85" s="5">
        <v>120</v>
      </c>
      <c r="M85" s="5">
        <v>1</v>
      </c>
      <c r="N85" s="5" t="s">
        <v>21</v>
      </c>
      <c r="O85" s="5" t="s">
        <v>74</v>
      </c>
    </row>
    <row r="86" spans="1:15" ht="14" customHeight="1" x14ac:dyDescent="0.45">
      <c r="A86" s="7">
        <v>45575</v>
      </c>
      <c r="B86" s="5" t="s">
        <v>68</v>
      </c>
      <c r="C86" s="5" t="s">
        <v>124</v>
      </c>
      <c r="D86" s="5">
        <v>1</v>
      </c>
      <c r="E86" s="5">
        <v>8</v>
      </c>
      <c r="F86" s="5">
        <v>2</v>
      </c>
      <c r="G86" s="7">
        <v>45678</v>
      </c>
      <c r="H86" s="5" t="s">
        <v>91</v>
      </c>
      <c r="I86" s="5">
        <v>5</v>
      </c>
      <c r="J86" s="5" t="s">
        <v>60</v>
      </c>
      <c r="K86" s="6">
        <f>IF(J86=[8]Legend!$A$66,[8]Legend!$B$66,(IF(J86=[8]Legend!$A$67,[8]Legend!$B$67,IF(J86=[8]Legend!$A$68, [8]Legend!$B$68, IF(J86=[8]Legend!$A$69, [8]Legend!$B$69, IF(J86=[8]Legend!$A$70, [8]Legend!$B$70, IF(J86=[8]Legend!$A$71, [8]Legend!$B$71, IF(J86=[8]Legend!$A$72, [8]Legend!$B$72, (IF(J86=[8]Legend!$A$73, [8]Legend!$B$73, IF(J86=[8]Legend!$A$74, [8]Legend!$B$74, "")))))))))))</f>
        <v>25</v>
      </c>
      <c r="L86" s="5">
        <v>25</v>
      </c>
      <c r="M86" s="5">
        <v>2</v>
      </c>
      <c r="N86" s="5" t="s">
        <v>23</v>
      </c>
      <c r="O86" s="5" t="s">
        <v>126</v>
      </c>
    </row>
    <row r="87" spans="1:15" ht="14" customHeight="1" x14ac:dyDescent="0.45">
      <c r="A87" s="7">
        <v>45575</v>
      </c>
      <c r="B87" s="5" t="s">
        <v>68</v>
      </c>
      <c r="C87" s="5" t="s">
        <v>124</v>
      </c>
      <c r="D87" s="5">
        <v>1</v>
      </c>
      <c r="E87" s="5">
        <v>8</v>
      </c>
      <c r="F87" s="5">
        <v>2</v>
      </c>
      <c r="G87" s="7">
        <v>45678</v>
      </c>
      <c r="H87" s="5" t="s">
        <v>91</v>
      </c>
      <c r="I87" s="5">
        <v>5</v>
      </c>
      <c r="J87" s="5" t="s">
        <v>69</v>
      </c>
      <c r="K87" s="6">
        <f>IF(J87=[8]Legend!$A$66,[8]Legend!$B$66,(IF(J87=[8]Legend!$A$67,[8]Legend!$B$67,IF(J87=[8]Legend!$A$68, [8]Legend!$B$68, IF(J87=[8]Legend!$A$69, [8]Legend!$B$69, IF(J87=[8]Legend!$A$70, [8]Legend!$B$70, IF(J87=[8]Legend!$A$71, [8]Legend!$B$71, IF(J87=[8]Legend!$A$72, [8]Legend!$B$72, (IF(J87=[8]Legend!$A$73, [8]Legend!$B$73, IF(J87=[8]Legend!$A$74, [8]Legend!$B$74, "")))))))))))</f>
        <v>120</v>
      </c>
      <c r="L87" s="5">
        <v>120</v>
      </c>
      <c r="M87" s="5">
        <v>2</v>
      </c>
      <c r="N87" s="5" t="s">
        <v>23</v>
      </c>
      <c r="O87" s="5" t="s">
        <v>129</v>
      </c>
    </row>
    <row r="88" spans="1:15" ht="14" customHeight="1" x14ac:dyDescent="0.45">
      <c r="A88" s="7">
        <v>45575</v>
      </c>
      <c r="B88" s="5" t="s">
        <v>68</v>
      </c>
      <c r="C88" s="5" t="s">
        <v>90</v>
      </c>
      <c r="D88" s="5">
        <v>1</v>
      </c>
      <c r="E88" s="5">
        <v>8</v>
      </c>
      <c r="F88" s="5">
        <v>1</v>
      </c>
      <c r="G88" s="7">
        <v>45705</v>
      </c>
      <c r="H88" s="5" t="s">
        <v>91</v>
      </c>
      <c r="I88" s="5">
        <v>5</v>
      </c>
      <c r="J88" s="5" t="s">
        <v>60</v>
      </c>
      <c r="K88" s="6">
        <f>IF(J88=[10]Legend!$A$67,[10]Legend!$B$67,(IF(J88=[10]Legend!$A$68,[10]Legend!$B$68,IF(J88=[10]Legend!$A$69, [10]Legend!$B$69, IF(J88=[10]Legend!$A$70, [10]Legend!$B$70, IF(J88=[10]Legend!$A$71, [10]Legend!$B$71, IF(J88=[10]Legend!$A$72, [10]Legend!$B$72, IF(J88=[10]Legend!$A$73, [10]Legend!$B$73, (IF(J88=[10]Legend!$A$74, [10]Legend!$B$74, IF(J88=[10]Legend!$A$75, [10]Legend!$B$75, "")))))))))))</f>
        <v>25</v>
      </c>
      <c r="L88" s="5">
        <v>25</v>
      </c>
      <c r="M88" s="5">
        <v>0</v>
      </c>
      <c r="N88" s="5"/>
      <c r="O88" s="5"/>
    </row>
    <row r="89" spans="1:15" ht="14" customHeight="1" x14ac:dyDescent="0.45">
      <c r="A89" s="7">
        <v>45575</v>
      </c>
      <c r="B89" s="5" t="s">
        <v>68</v>
      </c>
      <c r="C89" s="5" t="s">
        <v>90</v>
      </c>
      <c r="D89" s="5">
        <v>1</v>
      </c>
      <c r="E89" s="5">
        <v>8</v>
      </c>
      <c r="F89" s="5">
        <v>1</v>
      </c>
      <c r="G89" s="7">
        <v>45705</v>
      </c>
      <c r="H89" s="5" t="s">
        <v>91</v>
      </c>
      <c r="I89" s="5">
        <v>5</v>
      </c>
      <c r="J89" s="5" t="s">
        <v>69</v>
      </c>
      <c r="K89" s="6">
        <f>IF(J89=[10]Legend!$A$67,[10]Legend!$B$67,(IF(J89=[10]Legend!$A$68,[10]Legend!$B$68,IF(J89=[10]Legend!$A$69, [10]Legend!$B$69, IF(J89=[10]Legend!$A$70, [10]Legend!$B$70, IF(J89=[10]Legend!$A$71, [10]Legend!$B$71, IF(J89=[10]Legend!$A$72, [10]Legend!$B$72, IF(J89=[10]Legend!$A$73, [10]Legend!$B$73, (IF(J89=[10]Legend!$A$74, [10]Legend!$B$74, IF(J89=[10]Legend!$A$75, [10]Legend!$B$75, "")))))))))))</f>
        <v>120</v>
      </c>
      <c r="L89" s="5">
        <v>119</v>
      </c>
      <c r="M89" s="5">
        <v>1</v>
      </c>
      <c r="N89" s="5" t="s">
        <v>21</v>
      </c>
      <c r="O89" s="5"/>
    </row>
    <row r="90" spans="1:15" ht="14" customHeight="1" x14ac:dyDescent="0.45">
      <c r="A90" s="7">
        <v>45582</v>
      </c>
      <c r="B90" s="5" t="s">
        <v>68</v>
      </c>
      <c r="C90" s="5" t="s">
        <v>124</v>
      </c>
      <c r="D90" s="5">
        <v>2</v>
      </c>
      <c r="E90" s="5">
        <v>8</v>
      </c>
      <c r="F90" s="5">
        <v>2</v>
      </c>
      <c r="G90" s="7">
        <v>45677</v>
      </c>
      <c r="H90" s="5" t="s">
        <v>91</v>
      </c>
      <c r="I90" s="5">
        <v>5</v>
      </c>
      <c r="J90" s="5" t="s">
        <v>60</v>
      </c>
      <c r="K90" s="6">
        <f>IF(J90=[8]Legend!$A$66,[8]Legend!$B$66,(IF(J90=[8]Legend!$A$67,[8]Legend!$B$67,IF(J90=[8]Legend!$A$68, [8]Legend!$B$68, IF(J90=[8]Legend!$A$69, [8]Legend!$B$69, IF(J90=[8]Legend!$A$70, [8]Legend!$B$70, IF(J90=[8]Legend!$A$71, [8]Legend!$B$71, IF(J90=[8]Legend!$A$72, [8]Legend!$B$72, (IF(J90=[8]Legend!$A$73, [8]Legend!$B$73, IF(J90=[8]Legend!$A$74, [8]Legend!$B$74, "")))))))))))</f>
        <v>25</v>
      </c>
      <c r="L90" s="5">
        <v>25</v>
      </c>
      <c r="M90" s="5">
        <v>0</v>
      </c>
      <c r="N90" s="5"/>
      <c r="O90" s="5" t="s">
        <v>126</v>
      </c>
    </row>
    <row r="91" spans="1:15" ht="14" customHeight="1" x14ac:dyDescent="0.45">
      <c r="A91" s="7">
        <v>45582</v>
      </c>
      <c r="B91" s="5" t="s">
        <v>68</v>
      </c>
      <c r="C91" s="5" t="s">
        <v>124</v>
      </c>
      <c r="D91" s="5">
        <v>2</v>
      </c>
      <c r="E91" s="5">
        <v>8</v>
      </c>
      <c r="F91" s="5">
        <v>2</v>
      </c>
      <c r="G91" s="7">
        <v>45677</v>
      </c>
      <c r="H91" s="5" t="s">
        <v>91</v>
      </c>
      <c r="I91" s="5">
        <v>5</v>
      </c>
      <c r="J91" s="5" t="s">
        <v>69</v>
      </c>
      <c r="K91" s="6">
        <f>IF(J91=[8]Legend!$A$66,[8]Legend!$B$66,(IF(J91=[8]Legend!$A$67,[8]Legend!$B$67,IF(J91=[8]Legend!$A$68, [8]Legend!$B$68, IF(J91=[8]Legend!$A$69, [8]Legend!$B$69, IF(J91=[8]Legend!$A$70, [8]Legend!$B$70, IF(J91=[8]Legend!$A$71, [8]Legend!$B$71, IF(J91=[8]Legend!$A$72, [8]Legend!$B$72, (IF(J91=[8]Legend!$A$73, [8]Legend!$B$73, IF(J91=[8]Legend!$A$74, [8]Legend!$B$74, "")))))))))))</f>
        <v>120</v>
      </c>
      <c r="L91" s="5">
        <v>120</v>
      </c>
      <c r="M91" s="5">
        <v>0</v>
      </c>
      <c r="N91" s="5"/>
      <c r="O91" s="5" t="s">
        <v>126</v>
      </c>
    </row>
    <row r="92" spans="1:15" ht="14" customHeight="1" x14ac:dyDescent="0.45">
      <c r="A92" s="7">
        <v>45582</v>
      </c>
      <c r="B92" s="5" t="s">
        <v>68</v>
      </c>
      <c r="C92" s="5" t="s">
        <v>124</v>
      </c>
      <c r="D92" s="5">
        <v>2</v>
      </c>
      <c r="E92" s="5">
        <v>8</v>
      </c>
      <c r="F92" s="5">
        <v>1</v>
      </c>
      <c r="G92" s="7">
        <v>45678</v>
      </c>
      <c r="H92" s="5" t="s">
        <v>91</v>
      </c>
      <c r="I92" s="5">
        <v>5</v>
      </c>
      <c r="J92" s="5" t="s">
        <v>60</v>
      </c>
      <c r="K92" s="6">
        <f>IF(J92=[8]Legend!$A$66,[8]Legend!$B$66,(IF(J92=[8]Legend!$A$67,[8]Legend!$B$67,IF(J92=[8]Legend!$A$68, [8]Legend!$B$68, IF(J92=[8]Legend!$A$69, [8]Legend!$B$69, IF(J92=[8]Legend!$A$70, [8]Legend!$B$70, IF(J92=[8]Legend!$A$71, [8]Legend!$B$71, IF(J92=[8]Legend!$A$72, [8]Legend!$B$72, (IF(J92=[8]Legend!$A$73, [8]Legend!$B$73, IF(J92=[8]Legend!$A$74, [8]Legend!$B$74, "")))))))))))</f>
        <v>25</v>
      </c>
      <c r="L92" s="5">
        <v>25</v>
      </c>
      <c r="M92" s="5">
        <v>1</v>
      </c>
      <c r="N92" s="5" t="s">
        <v>30</v>
      </c>
      <c r="O92" s="5" t="s">
        <v>126</v>
      </c>
    </row>
    <row r="93" spans="1:15" ht="14" customHeight="1" x14ac:dyDescent="0.45">
      <c r="A93" s="7">
        <v>45582</v>
      </c>
      <c r="B93" s="5" t="s">
        <v>68</v>
      </c>
      <c r="C93" s="5" t="s">
        <v>124</v>
      </c>
      <c r="D93" s="5">
        <v>2</v>
      </c>
      <c r="E93" s="5">
        <v>8</v>
      </c>
      <c r="F93" s="5">
        <v>1</v>
      </c>
      <c r="G93" s="7">
        <v>45678</v>
      </c>
      <c r="H93" s="5" t="s">
        <v>91</v>
      </c>
      <c r="I93" s="5">
        <v>5</v>
      </c>
      <c r="J93" s="5" t="s">
        <v>69</v>
      </c>
      <c r="K93" s="6">
        <f>IF(J93=[8]Legend!$A$66,[8]Legend!$B$66,(IF(J93=[8]Legend!$A$67,[8]Legend!$B$67,IF(J93=[8]Legend!$A$68, [8]Legend!$B$68, IF(J93=[8]Legend!$A$69, [8]Legend!$B$69, IF(J93=[8]Legend!$A$70, [8]Legend!$B$70, IF(J93=[8]Legend!$A$71, [8]Legend!$B$71, IF(J93=[8]Legend!$A$72, [8]Legend!$B$72, (IF(J93=[8]Legend!$A$73, [8]Legend!$B$73, IF(J93=[8]Legend!$A$74, [8]Legend!$B$74, "")))))))))))</f>
        <v>120</v>
      </c>
      <c r="L93" s="5">
        <v>120</v>
      </c>
      <c r="M93" s="5">
        <v>2</v>
      </c>
      <c r="N93" s="5" t="s">
        <v>23</v>
      </c>
      <c r="O93" s="5" t="s">
        <v>126</v>
      </c>
    </row>
    <row r="94" spans="1:15" ht="14" customHeight="1" x14ac:dyDescent="0.45">
      <c r="A94" s="7">
        <v>45589</v>
      </c>
      <c r="B94" s="5" t="s">
        <v>68</v>
      </c>
      <c r="C94" s="5" t="s">
        <v>16</v>
      </c>
      <c r="D94" s="5">
        <v>3</v>
      </c>
      <c r="E94" s="5">
        <v>8</v>
      </c>
      <c r="F94" s="5">
        <v>1</v>
      </c>
      <c r="G94" s="7">
        <v>45598</v>
      </c>
      <c r="H94" s="5" t="s">
        <v>17</v>
      </c>
      <c r="I94" s="5">
        <v>5</v>
      </c>
      <c r="J94" s="5" t="s">
        <v>60</v>
      </c>
      <c r="K94" s="6">
        <f>IF(J94=[1]Legend!$A$66,[1]Legend!$B$66,(IF(J94=[1]Legend!$A$67,[1]Legend!$B$67,IF(J94=[1]Legend!$A$68, [1]Legend!$B$68, IF(J94=[1]Legend!$A$69, [1]Legend!$B$69, IF(J94=[1]Legend!$A$70, [1]Legend!$B$70, IF(J94=[1]Legend!$A$71, [1]Legend!$B$71, IF(J94=[1]Legend!$A$72, [1]Legend!$B$72, (IF(J94=[1]Legend!$A$73, [1]Legend!$B$73, IF(J94=[1]Legend!$A$74, [1]Legend!$B$74, "")))))))))))</f>
        <v>25</v>
      </c>
      <c r="L94" s="5">
        <v>25</v>
      </c>
      <c r="M94" s="5"/>
      <c r="N94" s="5"/>
      <c r="O94" s="5"/>
    </row>
    <row r="95" spans="1:15" ht="14" customHeight="1" x14ac:dyDescent="0.45">
      <c r="A95" s="7">
        <v>45589</v>
      </c>
      <c r="B95" s="5" t="s">
        <v>68</v>
      </c>
      <c r="C95" s="5" t="s">
        <v>16</v>
      </c>
      <c r="D95" s="5">
        <v>3</v>
      </c>
      <c r="E95" s="5">
        <v>8</v>
      </c>
      <c r="F95" s="5">
        <v>1</v>
      </c>
      <c r="G95" s="7">
        <v>45598</v>
      </c>
      <c r="H95" s="5" t="s">
        <v>17</v>
      </c>
      <c r="I95" s="5">
        <v>5</v>
      </c>
      <c r="J95" s="5" t="s">
        <v>69</v>
      </c>
      <c r="K95" s="6">
        <f>IF(J95=[1]Legend!$A$66,[1]Legend!$B$66,(IF(J95=[1]Legend!$A$67,[1]Legend!$B$67,IF(J95=[1]Legend!$A$68, [1]Legend!$B$68, IF(J95=[1]Legend!$A$69, [1]Legend!$B$69, IF(J95=[1]Legend!$A$70, [1]Legend!$B$70, IF(J95=[1]Legend!$A$71, [1]Legend!$B$71, IF(J95=[1]Legend!$A$72, [1]Legend!$B$72, (IF(J95=[1]Legend!$A$73, [1]Legend!$B$73, IF(J95=[1]Legend!$A$74, [1]Legend!$B$74, "")))))))))))</f>
        <v>120</v>
      </c>
      <c r="L95" s="5">
        <v>120</v>
      </c>
      <c r="M95" s="5">
        <v>1</v>
      </c>
      <c r="N95" s="5" t="s">
        <v>21</v>
      </c>
      <c r="O95" s="5" t="s">
        <v>73</v>
      </c>
    </row>
    <row r="96" spans="1:15" ht="14" customHeight="1" x14ac:dyDescent="0.45">
      <c r="A96" s="7">
        <v>45589</v>
      </c>
      <c r="B96" s="5" t="s">
        <v>68</v>
      </c>
      <c r="C96" s="5" t="s">
        <v>16</v>
      </c>
      <c r="D96" s="5">
        <v>3</v>
      </c>
      <c r="E96" s="5">
        <v>8</v>
      </c>
      <c r="F96" s="5">
        <v>2</v>
      </c>
      <c r="G96" s="7">
        <v>45598</v>
      </c>
      <c r="H96" s="5" t="s">
        <v>17</v>
      </c>
      <c r="I96" s="5">
        <v>5</v>
      </c>
      <c r="J96" s="5" t="s">
        <v>60</v>
      </c>
      <c r="K96" s="6">
        <f>IF(J96=[1]Legend!$A$66,[1]Legend!$B$66,(IF(J96=[1]Legend!$A$67,[1]Legend!$B$67,IF(J96=[1]Legend!$A$68, [1]Legend!$B$68, IF(J96=[1]Legend!$A$69, [1]Legend!$B$69, IF(J96=[1]Legend!$A$70, [1]Legend!$B$70, IF(J96=[1]Legend!$A$71, [1]Legend!$B$71, IF(J96=[1]Legend!$A$72, [1]Legend!$B$72, (IF(J96=[1]Legend!$A$73, [1]Legend!$B$73, IF(J96=[1]Legend!$A$74, [1]Legend!$B$74, "")))))))))))</f>
        <v>25</v>
      </c>
      <c r="L96" s="5">
        <v>25</v>
      </c>
      <c r="M96" s="5"/>
      <c r="N96" s="5"/>
      <c r="O96" s="5"/>
    </row>
    <row r="97" spans="1:15" ht="14" customHeight="1" x14ac:dyDescent="0.45">
      <c r="A97" s="7">
        <v>45589</v>
      </c>
      <c r="B97" s="16" t="s">
        <v>68</v>
      </c>
      <c r="C97" s="16" t="s">
        <v>16</v>
      </c>
      <c r="D97" s="16">
        <v>3</v>
      </c>
      <c r="E97" s="16">
        <v>8</v>
      </c>
      <c r="F97" s="16">
        <v>2</v>
      </c>
      <c r="G97" s="18">
        <v>45598</v>
      </c>
      <c r="H97" s="16" t="s">
        <v>17</v>
      </c>
      <c r="I97" s="16">
        <v>5</v>
      </c>
      <c r="J97" s="5" t="s">
        <v>69</v>
      </c>
      <c r="K97" s="6">
        <f>IF(J97=[1]Legend!$A$66,[1]Legend!$B$66,(IF(J97=[1]Legend!$A$67,[1]Legend!$B$67,IF(J97=[1]Legend!$A$68, [1]Legend!$B$68, IF(J97=[1]Legend!$A$69, [1]Legend!$B$69, IF(J97=[1]Legend!$A$70, [1]Legend!$B$70, IF(J97=[1]Legend!$A$71, [1]Legend!$B$71, IF(J97=[1]Legend!$A$72, [1]Legend!$B$72, (IF(J97=[1]Legend!$A$73, [1]Legend!$B$73, IF(J97=[1]Legend!$A$74, [1]Legend!$B$74, "")))))))))))</f>
        <v>120</v>
      </c>
      <c r="L97" s="5">
        <v>120</v>
      </c>
      <c r="M97" s="5"/>
      <c r="N97" s="5"/>
      <c r="O97" s="5"/>
    </row>
    <row r="98" spans="1:15" ht="14" customHeight="1" x14ac:dyDescent="0.45">
      <c r="A98" s="7">
        <v>45575</v>
      </c>
      <c r="B98" s="5" t="s">
        <v>68</v>
      </c>
      <c r="C98" s="5" t="s">
        <v>90</v>
      </c>
      <c r="D98" s="5">
        <v>1</v>
      </c>
      <c r="E98" s="5">
        <v>9</v>
      </c>
      <c r="F98" s="5">
        <v>1</v>
      </c>
      <c r="G98" s="7">
        <v>45705</v>
      </c>
      <c r="H98" s="5" t="s">
        <v>91</v>
      </c>
      <c r="I98" s="5">
        <v>5</v>
      </c>
      <c r="J98" s="5" t="s">
        <v>60</v>
      </c>
      <c r="K98" s="6">
        <f>IF(J98=[10]Legend!$A$67,[10]Legend!$B$67,(IF(J98=[10]Legend!$A$68,[10]Legend!$B$68,IF(J98=[10]Legend!$A$69, [10]Legend!$B$69, IF(J98=[10]Legend!$A$70, [10]Legend!$B$70, IF(J98=[10]Legend!$A$71, [10]Legend!$B$71, IF(J98=[10]Legend!$A$72, [10]Legend!$B$72, IF(J98=[10]Legend!$A$73, [10]Legend!$B$73, (IF(J98=[10]Legend!$A$74, [10]Legend!$B$74, IF(J98=[10]Legend!$A$75, [10]Legend!$B$75, "")))))))))))</f>
        <v>25</v>
      </c>
      <c r="L98" s="5">
        <v>25</v>
      </c>
      <c r="M98" s="5">
        <v>0</v>
      </c>
      <c r="N98" s="5"/>
      <c r="O98" s="5"/>
    </row>
    <row r="99" spans="1:15" ht="14" customHeight="1" x14ac:dyDescent="0.45">
      <c r="A99" s="7">
        <v>45575</v>
      </c>
      <c r="B99" s="5" t="s">
        <v>68</v>
      </c>
      <c r="C99" s="5" t="s">
        <v>90</v>
      </c>
      <c r="D99" s="5">
        <v>1</v>
      </c>
      <c r="E99" s="5">
        <v>9</v>
      </c>
      <c r="F99" s="5">
        <v>1</v>
      </c>
      <c r="G99" s="7">
        <v>45705</v>
      </c>
      <c r="H99" s="5" t="s">
        <v>91</v>
      </c>
      <c r="I99" s="5">
        <v>5</v>
      </c>
      <c r="J99" s="5" t="s">
        <v>69</v>
      </c>
      <c r="K99" s="6">
        <f>IF(J99=[10]Legend!$A$67,[10]Legend!$B$67,(IF(J99=[10]Legend!$A$68,[10]Legend!$B$68,IF(J99=[10]Legend!$A$69, [10]Legend!$B$69, IF(J99=[10]Legend!$A$70, [10]Legend!$B$70, IF(J99=[10]Legend!$A$71, [10]Legend!$B$71, IF(J99=[10]Legend!$A$72, [10]Legend!$B$72, IF(J99=[10]Legend!$A$73, [10]Legend!$B$73, (IF(J99=[10]Legend!$A$74, [10]Legend!$B$74, IF(J99=[10]Legend!$A$75, [10]Legend!$B$75, "")))))))))))</f>
        <v>120</v>
      </c>
      <c r="L99" s="5">
        <v>120</v>
      </c>
      <c r="M99" s="5">
        <v>0</v>
      </c>
      <c r="N99" s="5"/>
      <c r="O99" s="5"/>
    </row>
    <row r="100" spans="1:15" ht="14" customHeight="1" x14ac:dyDescent="0.45">
      <c r="A100" s="7">
        <v>45575</v>
      </c>
      <c r="B100" s="5" t="s">
        <v>68</v>
      </c>
      <c r="C100" s="5" t="s">
        <v>90</v>
      </c>
      <c r="D100" s="5">
        <v>1</v>
      </c>
      <c r="E100" s="5">
        <v>9</v>
      </c>
      <c r="F100" s="5">
        <v>2</v>
      </c>
      <c r="G100" s="7">
        <v>45705</v>
      </c>
      <c r="H100" s="5" t="s">
        <v>91</v>
      </c>
      <c r="I100" s="5">
        <v>5</v>
      </c>
      <c r="J100" s="5" t="s">
        <v>60</v>
      </c>
      <c r="K100" s="6">
        <f>IF(J100=[10]Legend!$A$67,[10]Legend!$B$67,(IF(J100=[10]Legend!$A$68,[10]Legend!$B$68,IF(J100=[10]Legend!$A$69, [10]Legend!$B$69, IF(J100=[10]Legend!$A$70, [10]Legend!$B$70, IF(J100=[10]Legend!$A$71, [10]Legend!$B$71, IF(J100=[10]Legend!$A$72, [10]Legend!$B$72, IF(J100=[10]Legend!$A$73, [10]Legend!$B$73, (IF(J100=[10]Legend!$A$74, [10]Legend!$B$74, IF(J100=[10]Legend!$A$75, [10]Legend!$B$75, "")))))))))))</f>
        <v>25</v>
      </c>
      <c r="L100" s="5">
        <v>25</v>
      </c>
      <c r="M100" s="5">
        <v>1</v>
      </c>
      <c r="N100" s="5" t="s">
        <v>21</v>
      </c>
      <c r="O100" s="5"/>
    </row>
    <row r="101" spans="1:15" ht="14" customHeight="1" x14ac:dyDescent="0.45">
      <c r="A101" s="7">
        <v>45575</v>
      </c>
      <c r="B101" s="5" t="s">
        <v>68</v>
      </c>
      <c r="C101" s="5" t="s">
        <v>90</v>
      </c>
      <c r="D101" s="5">
        <v>1</v>
      </c>
      <c r="E101" s="5">
        <v>9</v>
      </c>
      <c r="F101" s="5">
        <v>2</v>
      </c>
      <c r="G101" s="7">
        <v>45705</v>
      </c>
      <c r="H101" s="5" t="s">
        <v>91</v>
      </c>
      <c r="I101" s="5">
        <v>5</v>
      </c>
      <c r="J101" s="5" t="s">
        <v>69</v>
      </c>
      <c r="K101" s="6">
        <f>IF(J101=[10]Legend!$A$67,[10]Legend!$B$67,(IF(J101=[10]Legend!$A$68,[10]Legend!$B$68,IF(J101=[10]Legend!$A$69, [10]Legend!$B$69, IF(J101=[10]Legend!$A$70, [10]Legend!$B$70, IF(J101=[10]Legend!$A$71, [10]Legend!$B$71, IF(J101=[10]Legend!$A$72, [10]Legend!$B$72, IF(J101=[10]Legend!$A$73, [10]Legend!$B$73, (IF(J101=[10]Legend!$A$74, [10]Legend!$B$74, IF(J101=[10]Legend!$A$75, [10]Legend!$B$75, "")))))))))))</f>
        <v>120</v>
      </c>
      <c r="L101" s="5">
        <v>118</v>
      </c>
      <c r="M101" s="5">
        <v>0</v>
      </c>
      <c r="N101" s="5"/>
      <c r="O101" s="5"/>
    </row>
    <row r="102" spans="1:15" ht="14" customHeight="1" x14ac:dyDescent="0.45">
      <c r="A102" s="7">
        <v>45582</v>
      </c>
      <c r="B102" s="5" t="s">
        <v>68</v>
      </c>
      <c r="C102" s="5" t="s">
        <v>124</v>
      </c>
      <c r="D102" s="5">
        <v>2</v>
      </c>
      <c r="E102" s="5">
        <v>9</v>
      </c>
      <c r="F102" s="5">
        <v>1</v>
      </c>
      <c r="G102" s="7">
        <v>45700</v>
      </c>
      <c r="H102" s="5" t="s">
        <v>91</v>
      </c>
      <c r="I102" s="5">
        <v>5</v>
      </c>
      <c r="J102" s="5" t="s">
        <v>60</v>
      </c>
      <c r="K102" s="6">
        <f>IF(J102=[10]Legend!$A$67,[10]Legend!$B$67,(IF(J102=[10]Legend!$A$68,[10]Legend!$B$68,IF(J102=[10]Legend!$A$69, [10]Legend!$B$69, IF(J102=[10]Legend!$A$70, [10]Legend!$B$70, IF(J102=[10]Legend!$A$71, [10]Legend!$B$71, IF(J102=[10]Legend!$A$72, [10]Legend!$B$72, IF(J102=[10]Legend!$A$73, [10]Legend!$B$73, (IF(J102=[10]Legend!$A$74, [10]Legend!$B$74, IF(J102=[10]Legend!$A$75, [10]Legend!$B$75, "")))))))))))</f>
        <v>25</v>
      </c>
      <c r="L102" s="5">
        <v>25</v>
      </c>
      <c r="M102" s="5">
        <v>0</v>
      </c>
      <c r="N102" s="5"/>
      <c r="O102" s="5"/>
    </row>
    <row r="103" spans="1:15" ht="14" customHeight="1" x14ac:dyDescent="0.45">
      <c r="A103" s="7">
        <v>45582</v>
      </c>
      <c r="B103" s="5" t="s">
        <v>68</v>
      </c>
      <c r="C103" s="5" t="s">
        <v>124</v>
      </c>
      <c r="D103" s="5">
        <v>2</v>
      </c>
      <c r="E103" s="5">
        <v>9</v>
      </c>
      <c r="F103" s="5">
        <v>1</v>
      </c>
      <c r="G103" s="7">
        <v>45700</v>
      </c>
      <c r="H103" s="5" t="s">
        <v>91</v>
      </c>
      <c r="I103" s="5">
        <v>5</v>
      </c>
      <c r="J103" s="5" t="s">
        <v>69</v>
      </c>
      <c r="K103" s="6">
        <f>IF(J103=[10]Legend!$A$67,[10]Legend!$B$67,(IF(J103=[10]Legend!$A$68,[10]Legend!$B$68,IF(J103=[10]Legend!$A$69, [10]Legend!$B$69, IF(J103=[10]Legend!$A$70, [10]Legend!$B$70, IF(J103=[10]Legend!$A$71, [10]Legend!$B$71, IF(J103=[10]Legend!$A$72, [10]Legend!$B$72, IF(J103=[10]Legend!$A$73, [10]Legend!$B$73, (IF(J103=[10]Legend!$A$74, [10]Legend!$B$74, IF(J103=[10]Legend!$A$75, [10]Legend!$B$75, "")))))))))))</f>
        <v>120</v>
      </c>
      <c r="L103" s="5">
        <v>120</v>
      </c>
      <c r="M103" s="5">
        <v>0</v>
      </c>
      <c r="N103" s="5"/>
      <c r="O103" s="5"/>
    </row>
    <row r="104" spans="1:15" ht="14" customHeight="1" x14ac:dyDescent="0.45">
      <c r="A104" s="7">
        <v>45582</v>
      </c>
      <c r="B104" s="5" t="s">
        <v>68</v>
      </c>
      <c r="C104" s="5" t="s">
        <v>124</v>
      </c>
      <c r="D104" s="5">
        <v>2</v>
      </c>
      <c r="E104" s="5">
        <v>9</v>
      </c>
      <c r="F104" s="5">
        <v>2</v>
      </c>
      <c r="G104" s="7">
        <v>45700</v>
      </c>
      <c r="H104" s="5" t="s">
        <v>91</v>
      </c>
      <c r="I104" s="5">
        <v>5</v>
      </c>
      <c r="J104" s="5" t="s">
        <v>60</v>
      </c>
      <c r="K104" s="6">
        <f>IF(J104=[10]Legend!$A$67,[10]Legend!$B$67,(IF(J104=[10]Legend!$A$68,[10]Legend!$B$68,IF(J104=[10]Legend!$A$69, [10]Legend!$B$69, IF(J104=[10]Legend!$A$70, [10]Legend!$B$70, IF(J104=[10]Legend!$A$71, [10]Legend!$B$71, IF(J104=[10]Legend!$A$72, [10]Legend!$B$72, IF(J104=[10]Legend!$A$73, [10]Legend!$B$73, (IF(J104=[10]Legend!$A$74, [10]Legend!$B$74, IF(J104=[10]Legend!$A$75, [10]Legend!$B$75, "")))))))))))</f>
        <v>25</v>
      </c>
      <c r="L104" s="5">
        <v>25</v>
      </c>
      <c r="M104" s="5">
        <v>1</v>
      </c>
      <c r="N104" s="5" t="s">
        <v>30</v>
      </c>
      <c r="O104" s="5"/>
    </row>
    <row r="105" spans="1:15" ht="14" customHeight="1" x14ac:dyDescent="0.45">
      <c r="A105" s="7">
        <v>45582</v>
      </c>
      <c r="B105" s="5" t="s">
        <v>68</v>
      </c>
      <c r="C105" s="5" t="s">
        <v>124</v>
      </c>
      <c r="D105" s="5">
        <v>2</v>
      </c>
      <c r="E105" s="5">
        <v>9</v>
      </c>
      <c r="F105" s="5">
        <v>2</v>
      </c>
      <c r="G105" s="7">
        <v>45700</v>
      </c>
      <c r="H105" s="5" t="s">
        <v>91</v>
      </c>
      <c r="I105" s="5">
        <v>5</v>
      </c>
      <c r="J105" s="5" t="s">
        <v>69</v>
      </c>
      <c r="K105" s="6">
        <f>IF(J105=[10]Legend!$A$67,[10]Legend!$B$67,(IF(J105=[10]Legend!$A$68,[10]Legend!$B$68,IF(J105=[10]Legend!$A$69, [10]Legend!$B$69, IF(J105=[10]Legend!$A$70, [10]Legend!$B$70, IF(J105=[10]Legend!$A$71, [10]Legend!$B$71, IF(J105=[10]Legend!$A$72, [10]Legend!$B$72, IF(J105=[10]Legend!$A$73, [10]Legend!$B$73, (IF(J105=[10]Legend!$A$74, [10]Legend!$B$74, IF(J105=[10]Legend!$A$75, [10]Legend!$B$75, "")))))))))))</f>
        <v>120</v>
      </c>
      <c r="L105" s="5">
        <v>120</v>
      </c>
      <c r="M105" s="5">
        <v>0</v>
      </c>
      <c r="N105" s="5"/>
      <c r="O105" s="5"/>
    </row>
    <row r="106" spans="1:15" ht="14" customHeight="1" x14ac:dyDescent="0.45">
      <c r="A106" s="7">
        <v>45589</v>
      </c>
      <c r="B106" s="5" t="s">
        <v>68</v>
      </c>
      <c r="C106" s="5" t="s">
        <v>16</v>
      </c>
      <c r="D106" s="5">
        <v>3</v>
      </c>
      <c r="E106" s="5">
        <v>9</v>
      </c>
      <c r="F106" s="5">
        <v>1</v>
      </c>
      <c r="G106" s="7">
        <v>45598</v>
      </c>
      <c r="H106" s="5" t="s">
        <v>17</v>
      </c>
      <c r="I106" s="5">
        <v>5</v>
      </c>
      <c r="J106" s="5" t="s">
        <v>60</v>
      </c>
      <c r="K106" s="6">
        <f>IF(J106=[1]Legend!$A$66,[1]Legend!$B$66,(IF(J106=[1]Legend!$A$67,[1]Legend!$B$67,IF(J106=[1]Legend!$A$68, [1]Legend!$B$68, IF(J106=[1]Legend!$A$69, [1]Legend!$B$69, IF(J106=[1]Legend!$A$70, [1]Legend!$B$70, IF(J106=[1]Legend!$A$71, [1]Legend!$B$71, IF(J106=[1]Legend!$A$72, [1]Legend!$B$72, (IF(J106=[1]Legend!$A$73, [1]Legend!$B$73, IF(J106=[1]Legend!$A$74, [1]Legend!$B$74, "")))))))))))</f>
        <v>25</v>
      </c>
      <c r="L106" s="5">
        <v>25</v>
      </c>
      <c r="M106" s="5"/>
      <c r="N106" s="5"/>
      <c r="O106" s="5"/>
    </row>
    <row r="107" spans="1:15" ht="14" customHeight="1" x14ac:dyDescent="0.45">
      <c r="A107" s="7">
        <v>45589</v>
      </c>
      <c r="B107" s="5" t="s">
        <v>68</v>
      </c>
      <c r="C107" s="5" t="s">
        <v>16</v>
      </c>
      <c r="D107" s="5">
        <v>3</v>
      </c>
      <c r="E107" s="5">
        <v>9</v>
      </c>
      <c r="F107" s="5">
        <v>1</v>
      </c>
      <c r="G107" s="7">
        <v>45598</v>
      </c>
      <c r="H107" s="5" t="s">
        <v>17</v>
      </c>
      <c r="I107" s="5">
        <v>5</v>
      </c>
      <c r="J107" s="5" t="s">
        <v>69</v>
      </c>
      <c r="K107" s="6">
        <f>IF(J107=[1]Legend!$A$66,[1]Legend!$B$66,(IF(J107=[1]Legend!$A$67,[1]Legend!$B$67,IF(J107=[1]Legend!$A$68, [1]Legend!$B$68, IF(J107=[1]Legend!$A$69, [1]Legend!$B$69, IF(J107=[1]Legend!$A$70, [1]Legend!$B$70, IF(J107=[1]Legend!$A$71, [1]Legend!$B$71, IF(J107=[1]Legend!$A$72, [1]Legend!$B$72, (IF(J107=[1]Legend!$A$73, [1]Legend!$B$73, IF(J107=[1]Legend!$A$74, [1]Legend!$B$74, "")))))))))))</f>
        <v>120</v>
      </c>
      <c r="L107" s="5">
        <v>120</v>
      </c>
      <c r="M107" s="5"/>
      <c r="N107" s="5"/>
      <c r="O107" s="5" t="s">
        <v>75</v>
      </c>
    </row>
    <row r="108" spans="1:15" ht="14" customHeight="1" x14ac:dyDescent="0.45">
      <c r="A108" s="7">
        <v>45589</v>
      </c>
      <c r="B108" s="5" t="s">
        <v>68</v>
      </c>
      <c r="C108" s="5" t="s">
        <v>16</v>
      </c>
      <c r="D108" s="5">
        <v>3</v>
      </c>
      <c r="E108" s="5">
        <v>9</v>
      </c>
      <c r="F108" s="5">
        <v>2</v>
      </c>
      <c r="G108" s="7">
        <v>45598</v>
      </c>
      <c r="H108" s="5" t="s">
        <v>17</v>
      </c>
      <c r="I108" s="5">
        <v>5</v>
      </c>
      <c r="J108" s="5" t="s">
        <v>60</v>
      </c>
      <c r="K108" s="6">
        <f>IF(J108=[1]Legend!$A$66,[1]Legend!$B$66,(IF(J108=[1]Legend!$A$67,[1]Legend!$B$67,IF(J108=[1]Legend!$A$68, [1]Legend!$B$68, IF(J108=[1]Legend!$A$69, [1]Legend!$B$69, IF(J108=[1]Legend!$A$70, [1]Legend!$B$70, IF(J108=[1]Legend!$A$71, [1]Legend!$B$71, IF(J108=[1]Legend!$A$72, [1]Legend!$B$72, (IF(J108=[1]Legend!$A$73, [1]Legend!$B$73, IF(J108=[1]Legend!$A$74, [1]Legend!$B$74, "")))))))))))</f>
        <v>25</v>
      </c>
      <c r="L108" s="5">
        <v>25</v>
      </c>
      <c r="M108" s="5">
        <v>1</v>
      </c>
      <c r="N108" s="5" t="s">
        <v>30</v>
      </c>
      <c r="O108" s="5"/>
    </row>
    <row r="109" spans="1:15" ht="14" customHeight="1" x14ac:dyDescent="0.45">
      <c r="A109" s="7">
        <v>45589</v>
      </c>
      <c r="B109" s="5" t="s">
        <v>68</v>
      </c>
      <c r="C109" s="5" t="s">
        <v>16</v>
      </c>
      <c r="D109" s="5">
        <v>3</v>
      </c>
      <c r="E109" s="5">
        <v>9</v>
      </c>
      <c r="F109" s="5">
        <v>2</v>
      </c>
      <c r="G109" s="7">
        <v>45598</v>
      </c>
      <c r="H109" s="5" t="s">
        <v>17</v>
      </c>
      <c r="I109" s="5">
        <v>5</v>
      </c>
      <c r="J109" s="5" t="s">
        <v>69</v>
      </c>
      <c r="K109" s="6">
        <f>IF(J109=[1]Legend!$A$66,[1]Legend!$B$66,(IF(J109=[1]Legend!$A$67,[1]Legend!$B$67,IF(J109=[1]Legend!$A$68, [1]Legend!$B$68, IF(J109=[1]Legend!$A$69, [1]Legend!$B$69, IF(J109=[1]Legend!$A$70, [1]Legend!$B$70, IF(J109=[1]Legend!$A$71, [1]Legend!$B$71, IF(J109=[1]Legend!$A$72, [1]Legend!$B$72, (IF(J109=[1]Legend!$A$73, [1]Legend!$B$73, IF(J109=[1]Legend!$A$74, [1]Legend!$B$74, "")))))))))))</f>
        <v>120</v>
      </c>
      <c r="L109" s="5">
        <v>120</v>
      </c>
      <c r="M109" s="5"/>
      <c r="N109" s="5"/>
      <c r="O109" s="5" t="s">
        <v>76</v>
      </c>
    </row>
    <row r="110" spans="1:15" s="22" customFormat="1" ht="14" customHeight="1" x14ac:dyDescent="0.45">
      <c r="A110" s="19">
        <v>45575</v>
      </c>
      <c r="B110" s="20" t="s">
        <v>68</v>
      </c>
      <c r="C110" s="20" t="s">
        <v>90</v>
      </c>
      <c r="D110" s="20">
        <v>1</v>
      </c>
      <c r="E110" s="20">
        <v>10</v>
      </c>
      <c r="F110" s="25">
        <v>2</v>
      </c>
      <c r="G110" s="19">
        <v>45678</v>
      </c>
      <c r="H110" s="20" t="s">
        <v>91</v>
      </c>
      <c r="I110" s="20">
        <v>5</v>
      </c>
      <c r="J110" s="20" t="s">
        <v>60</v>
      </c>
      <c r="K110" s="21">
        <f>IF(J110=[8]Legend!$A$66,[8]Legend!$B$66,(IF(J110=[8]Legend!$A$67,[8]Legend!$B$67,IF(J110=[8]Legend!$A$68, [8]Legend!$B$68, IF(J110=[8]Legend!$A$69, [8]Legend!$B$69, IF(J110=[8]Legend!$A$70, [8]Legend!$B$70, IF(J110=[8]Legend!$A$71, [8]Legend!$B$71, IF(J110=[8]Legend!$A$72, [8]Legend!$B$72, (IF(J110=[8]Legend!$A$73, [8]Legend!$B$73, IF(J110=[8]Legend!$A$74, [8]Legend!$B$74, "")))))))))))</f>
        <v>25</v>
      </c>
      <c r="L110" s="20">
        <v>25</v>
      </c>
      <c r="M110" s="20">
        <v>0</v>
      </c>
      <c r="N110" s="20"/>
      <c r="O110" s="20"/>
    </row>
    <row r="111" spans="1:15" s="22" customFormat="1" ht="14" customHeight="1" x14ac:dyDescent="0.45">
      <c r="A111" s="19">
        <v>45575</v>
      </c>
      <c r="B111" s="20" t="s">
        <v>68</v>
      </c>
      <c r="C111" s="20" t="s">
        <v>90</v>
      </c>
      <c r="D111" s="20">
        <v>1</v>
      </c>
      <c r="E111" s="20">
        <v>10</v>
      </c>
      <c r="F111" s="25">
        <v>2</v>
      </c>
      <c r="G111" s="19">
        <v>45678</v>
      </c>
      <c r="H111" s="20" t="s">
        <v>91</v>
      </c>
      <c r="I111" s="20">
        <v>5</v>
      </c>
      <c r="J111" s="20" t="s">
        <v>69</v>
      </c>
      <c r="K111" s="21">
        <f>IF(J111=[8]Legend!$A$66,[8]Legend!$B$66,(IF(J111=[8]Legend!$A$67,[8]Legend!$B$67,IF(J111=[8]Legend!$A$68, [8]Legend!$B$68, IF(J111=[8]Legend!$A$69, [8]Legend!$B$69, IF(J111=[8]Legend!$A$70, [8]Legend!$B$70, IF(J111=[8]Legend!$A$71, [8]Legend!$B$71, IF(J111=[8]Legend!$A$72, [8]Legend!$B$72, (IF(J111=[8]Legend!$A$73, [8]Legend!$B$73, IF(J111=[8]Legend!$A$74, [8]Legend!$B$74, "")))))))))))</f>
        <v>120</v>
      </c>
      <c r="L111" s="20">
        <v>120</v>
      </c>
      <c r="M111" s="20">
        <v>0</v>
      </c>
      <c r="N111" s="20"/>
      <c r="O111" s="20"/>
    </row>
    <row r="112" spans="1:15" s="22" customFormat="1" ht="14" customHeight="1" x14ac:dyDescent="0.45">
      <c r="A112" s="19">
        <v>45575</v>
      </c>
      <c r="B112" s="20" t="s">
        <v>68</v>
      </c>
      <c r="C112" s="20" t="s">
        <v>90</v>
      </c>
      <c r="D112" s="20">
        <v>1</v>
      </c>
      <c r="E112" s="20">
        <v>10</v>
      </c>
      <c r="F112" s="25">
        <v>2</v>
      </c>
      <c r="G112" s="19">
        <v>45705</v>
      </c>
      <c r="H112" s="20" t="s">
        <v>91</v>
      </c>
      <c r="I112" s="20">
        <v>5</v>
      </c>
      <c r="J112" s="20" t="s">
        <v>60</v>
      </c>
      <c r="K112" s="21">
        <f>IF(J112=[10]Legend!$A$67,[10]Legend!$B$67,(IF(J112=[10]Legend!$A$68,[10]Legend!$B$68,IF(J112=[10]Legend!$A$69, [10]Legend!$B$69, IF(J112=[10]Legend!$A$70, [10]Legend!$B$70, IF(J112=[10]Legend!$A$71, [10]Legend!$B$71, IF(J112=[10]Legend!$A$72, [10]Legend!$B$72, IF(J112=[10]Legend!$A$73, [10]Legend!$B$73, (IF(J112=[10]Legend!$A$74, [10]Legend!$B$74, IF(J112=[10]Legend!$A$75, [10]Legend!$B$75, "")))))))))))</f>
        <v>25</v>
      </c>
      <c r="L112" s="20">
        <v>25</v>
      </c>
      <c r="M112" s="20">
        <v>0</v>
      </c>
      <c r="N112" s="20"/>
      <c r="O112" s="20"/>
    </row>
    <row r="113" spans="1:15" s="22" customFormat="1" ht="14" customHeight="1" x14ac:dyDescent="0.45">
      <c r="A113" s="19">
        <v>45575</v>
      </c>
      <c r="B113" s="20" t="s">
        <v>68</v>
      </c>
      <c r="C113" s="20" t="s">
        <v>90</v>
      </c>
      <c r="D113" s="20">
        <v>1</v>
      </c>
      <c r="E113" s="20">
        <v>10</v>
      </c>
      <c r="F113" s="25">
        <v>2</v>
      </c>
      <c r="G113" s="19">
        <v>45705</v>
      </c>
      <c r="H113" s="20" t="s">
        <v>91</v>
      </c>
      <c r="I113" s="20">
        <v>5</v>
      </c>
      <c r="J113" s="20" t="s">
        <v>69</v>
      </c>
      <c r="K113" s="21">
        <f>IF(J113=[10]Legend!$A$67,[10]Legend!$B$67,(IF(J113=[10]Legend!$A$68,[10]Legend!$B$68,IF(J113=[10]Legend!$A$69, [10]Legend!$B$69, IF(J113=[10]Legend!$A$70, [10]Legend!$B$70, IF(J113=[10]Legend!$A$71, [10]Legend!$B$71, IF(J113=[10]Legend!$A$72, [10]Legend!$B$72, IF(J113=[10]Legend!$A$73, [10]Legend!$B$73, (IF(J113=[10]Legend!$A$74, [10]Legend!$B$74, IF(J113=[10]Legend!$A$75, [10]Legend!$B$75, "")))))))))))</f>
        <v>120</v>
      </c>
      <c r="L113" s="20">
        <v>119</v>
      </c>
      <c r="M113" s="20">
        <v>0</v>
      </c>
      <c r="N113" s="20"/>
      <c r="O113" s="20"/>
    </row>
    <row r="114" spans="1:15" s="22" customFormat="1" ht="14" customHeight="1" x14ac:dyDescent="0.45">
      <c r="A114" s="19">
        <v>45582</v>
      </c>
      <c r="B114" s="20" t="s">
        <v>68</v>
      </c>
      <c r="C114" s="20" t="s">
        <v>124</v>
      </c>
      <c r="D114" s="20">
        <v>2</v>
      </c>
      <c r="E114" s="20">
        <v>10</v>
      </c>
      <c r="F114" s="25">
        <v>2</v>
      </c>
      <c r="G114" s="19">
        <v>45677</v>
      </c>
      <c r="H114" s="20" t="s">
        <v>91</v>
      </c>
      <c r="I114" s="20">
        <v>5</v>
      </c>
      <c r="J114" s="20" t="s">
        <v>60</v>
      </c>
      <c r="K114" s="21">
        <f>IF(J114=[8]Legend!$A$66,[8]Legend!$B$66,(IF(J114=[8]Legend!$A$67,[8]Legend!$B$67,IF(J114=[8]Legend!$A$68, [8]Legend!$B$68, IF(J114=[8]Legend!$A$69, [8]Legend!$B$69, IF(J114=[8]Legend!$A$70, [8]Legend!$B$70, IF(J114=[8]Legend!$A$71, [8]Legend!$B$71, IF(J114=[8]Legend!$A$72, [8]Legend!$B$72, (IF(J114=[8]Legend!$A$73, [8]Legend!$B$73, IF(J114=[8]Legend!$A$74, [8]Legend!$B$74, "")))))))))))</f>
        <v>25</v>
      </c>
      <c r="L114" s="20">
        <v>25</v>
      </c>
      <c r="M114" s="20">
        <v>0</v>
      </c>
      <c r="N114" s="20"/>
      <c r="O114" s="20" t="s">
        <v>122</v>
      </c>
    </row>
    <row r="115" spans="1:15" s="22" customFormat="1" ht="14" customHeight="1" x14ac:dyDescent="0.45">
      <c r="A115" s="19">
        <v>45582</v>
      </c>
      <c r="B115" s="20" t="s">
        <v>68</v>
      </c>
      <c r="C115" s="20" t="s">
        <v>124</v>
      </c>
      <c r="D115" s="20">
        <v>2</v>
      </c>
      <c r="E115" s="20">
        <v>10</v>
      </c>
      <c r="F115" s="25">
        <v>2</v>
      </c>
      <c r="G115" s="19">
        <v>45677</v>
      </c>
      <c r="H115" s="20" t="s">
        <v>91</v>
      </c>
      <c r="I115" s="20">
        <v>5</v>
      </c>
      <c r="J115" s="20" t="s">
        <v>69</v>
      </c>
      <c r="K115" s="21">
        <f>IF(J115=[8]Legend!$A$66,[8]Legend!$B$66,(IF(J115=[8]Legend!$A$67,[8]Legend!$B$67,IF(J115=[8]Legend!$A$68, [8]Legend!$B$68, IF(J115=[8]Legend!$A$69, [8]Legend!$B$69, IF(J115=[8]Legend!$A$70, [8]Legend!$B$70, IF(J115=[8]Legend!$A$71, [8]Legend!$B$71, IF(J115=[8]Legend!$A$72, [8]Legend!$B$72, (IF(J115=[8]Legend!$A$73, [8]Legend!$B$73, IF(J115=[8]Legend!$A$74, [8]Legend!$B$74, "")))))))))))</f>
        <v>120</v>
      </c>
      <c r="L115" s="20">
        <v>120</v>
      </c>
      <c r="M115" s="20">
        <v>0</v>
      </c>
      <c r="N115" s="20"/>
      <c r="O115" s="20" t="s">
        <v>122</v>
      </c>
    </row>
    <row r="116" spans="1:15" s="22" customFormat="1" ht="14" customHeight="1" x14ac:dyDescent="0.45">
      <c r="A116" s="19">
        <v>45582</v>
      </c>
      <c r="B116" s="20" t="s">
        <v>68</v>
      </c>
      <c r="C116" s="20" t="s">
        <v>124</v>
      </c>
      <c r="D116" s="20">
        <v>2</v>
      </c>
      <c r="E116" s="20">
        <v>10</v>
      </c>
      <c r="F116" s="25">
        <v>1</v>
      </c>
      <c r="G116" s="19">
        <v>45700</v>
      </c>
      <c r="H116" s="20" t="s">
        <v>91</v>
      </c>
      <c r="I116" s="20">
        <v>5</v>
      </c>
      <c r="J116" s="20" t="s">
        <v>60</v>
      </c>
      <c r="K116" s="21">
        <f>IF(J116=[10]Legend!$A$67,[10]Legend!$B$67,(IF(J116=[10]Legend!$A$68,[10]Legend!$B$68,IF(J116=[10]Legend!$A$69, [10]Legend!$B$69, IF(J116=[10]Legend!$A$70, [10]Legend!$B$70, IF(J116=[10]Legend!$A$71, [10]Legend!$B$71, IF(J116=[10]Legend!$A$72, [10]Legend!$B$72, IF(J116=[10]Legend!$A$73, [10]Legend!$B$73, (IF(J116=[10]Legend!$A$74, [10]Legend!$B$74, IF(J116=[10]Legend!$A$75, [10]Legend!$B$75, "")))))))))))</f>
        <v>25</v>
      </c>
      <c r="L116" s="20">
        <v>25</v>
      </c>
      <c r="M116" s="20">
        <v>1</v>
      </c>
      <c r="N116" s="20" t="s">
        <v>21</v>
      </c>
      <c r="O116" s="20"/>
    </row>
    <row r="117" spans="1:15" s="22" customFormat="1" ht="14" customHeight="1" x14ac:dyDescent="0.45">
      <c r="A117" s="19">
        <v>45582</v>
      </c>
      <c r="B117" s="20" t="s">
        <v>68</v>
      </c>
      <c r="C117" s="20" t="s">
        <v>124</v>
      </c>
      <c r="D117" s="20">
        <v>2</v>
      </c>
      <c r="E117" s="20">
        <v>10</v>
      </c>
      <c r="F117" s="25">
        <v>1</v>
      </c>
      <c r="G117" s="19">
        <v>45700</v>
      </c>
      <c r="H117" s="20" t="s">
        <v>91</v>
      </c>
      <c r="I117" s="20">
        <v>5</v>
      </c>
      <c r="J117" s="20" t="s">
        <v>69</v>
      </c>
      <c r="K117" s="21">
        <f>IF(J117=[10]Legend!$A$67,[10]Legend!$B$67,(IF(J117=[10]Legend!$A$68,[10]Legend!$B$68,IF(J117=[10]Legend!$A$69, [10]Legend!$B$69, IF(J117=[10]Legend!$A$70, [10]Legend!$B$70, IF(J117=[10]Legend!$A$71, [10]Legend!$B$71, IF(J117=[10]Legend!$A$72, [10]Legend!$B$72, IF(J117=[10]Legend!$A$73, [10]Legend!$B$73, (IF(J117=[10]Legend!$A$74, [10]Legend!$B$74, IF(J117=[10]Legend!$A$75, [10]Legend!$B$75, "")))))))))))</f>
        <v>120</v>
      </c>
      <c r="L117" s="20">
        <v>118</v>
      </c>
      <c r="M117" s="20">
        <v>0</v>
      </c>
      <c r="N117" s="20"/>
      <c r="O117" s="20"/>
    </row>
    <row r="118" spans="1:15" s="22" customFormat="1" ht="14" customHeight="1" x14ac:dyDescent="0.45">
      <c r="A118" s="19">
        <v>45589</v>
      </c>
      <c r="B118" s="20" t="s">
        <v>68</v>
      </c>
      <c r="C118" s="20" t="s">
        <v>16</v>
      </c>
      <c r="D118" s="20">
        <v>3</v>
      </c>
      <c r="E118" s="20">
        <v>10</v>
      </c>
      <c r="F118" s="25">
        <v>1</v>
      </c>
      <c r="G118" s="19">
        <v>45598</v>
      </c>
      <c r="H118" s="20" t="s">
        <v>17</v>
      </c>
      <c r="I118" s="20">
        <v>5</v>
      </c>
      <c r="J118" s="20" t="s">
        <v>60</v>
      </c>
      <c r="K118" s="21">
        <f>IF(J118=[1]Legend!$A$66,[1]Legend!$B$66,(IF(J118=[1]Legend!$A$67,[1]Legend!$B$67,IF(J118=[1]Legend!$A$68, [1]Legend!$B$68, IF(J118=[1]Legend!$A$69, [1]Legend!$B$69, IF(J118=[1]Legend!$A$70, [1]Legend!$B$70, IF(J118=[1]Legend!$A$71, [1]Legend!$B$71, IF(J118=[1]Legend!$A$72, [1]Legend!$B$72, (IF(J118=[1]Legend!$A$73, [1]Legend!$B$73, IF(J118=[1]Legend!$A$74, [1]Legend!$B$74, "")))))))))))</f>
        <v>25</v>
      </c>
      <c r="L118" s="20">
        <v>25</v>
      </c>
      <c r="M118" s="20"/>
      <c r="N118" s="20"/>
      <c r="O118" s="20"/>
    </row>
    <row r="119" spans="1:15" s="22" customFormat="1" ht="14" customHeight="1" x14ac:dyDescent="0.45">
      <c r="A119" s="19">
        <v>45589</v>
      </c>
      <c r="B119" s="20" t="s">
        <v>68</v>
      </c>
      <c r="C119" s="20" t="s">
        <v>16</v>
      </c>
      <c r="D119" s="20">
        <v>3</v>
      </c>
      <c r="E119" s="20">
        <v>10</v>
      </c>
      <c r="F119" s="25">
        <v>1</v>
      </c>
      <c r="G119" s="19">
        <v>45598</v>
      </c>
      <c r="H119" s="20" t="s">
        <v>17</v>
      </c>
      <c r="I119" s="20">
        <v>5</v>
      </c>
      <c r="J119" s="20" t="s">
        <v>69</v>
      </c>
      <c r="K119" s="21">
        <f>IF(J119=[1]Legend!$A$66,[1]Legend!$B$66,(IF(J119=[1]Legend!$A$67,[1]Legend!$B$67,IF(J119=[1]Legend!$A$68, [1]Legend!$B$68, IF(J119=[1]Legend!$A$69, [1]Legend!$B$69, IF(J119=[1]Legend!$A$70, [1]Legend!$B$70, IF(J119=[1]Legend!$A$71, [1]Legend!$B$71, IF(J119=[1]Legend!$A$72, [1]Legend!$B$72, (IF(J119=[1]Legend!$A$73, [1]Legend!$B$73, IF(J119=[1]Legend!$A$74, [1]Legend!$B$74, "")))))))))))</f>
        <v>120</v>
      </c>
      <c r="L119" s="20">
        <v>120</v>
      </c>
      <c r="M119" s="20">
        <v>1</v>
      </c>
      <c r="N119" s="20" t="s">
        <v>21</v>
      </c>
      <c r="O119" s="20" t="s">
        <v>77</v>
      </c>
    </row>
    <row r="120" spans="1:15" s="22" customFormat="1" ht="14" customHeight="1" x14ac:dyDescent="0.45">
      <c r="A120" s="19">
        <v>45589</v>
      </c>
      <c r="B120" s="20" t="s">
        <v>68</v>
      </c>
      <c r="C120" s="20" t="s">
        <v>16</v>
      </c>
      <c r="D120" s="20">
        <v>3</v>
      </c>
      <c r="E120" s="20">
        <v>10</v>
      </c>
      <c r="F120" s="25">
        <v>2</v>
      </c>
      <c r="G120" s="19">
        <v>45598</v>
      </c>
      <c r="H120" s="20" t="s">
        <v>17</v>
      </c>
      <c r="I120" s="20">
        <v>5</v>
      </c>
      <c r="J120" s="20" t="s">
        <v>60</v>
      </c>
      <c r="K120" s="21">
        <f>IF(J120=[1]Legend!$A$66,[1]Legend!$B$66,(IF(J120=[1]Legend!$A$67,[1]Legend!$B$67,IF(J120=[1]Legend!$A$68, [1]Legend!$B$68, IF(J120=[1]Legend!$A$69, [1]Legend!$B$69, IF(J120=[1]Legend!$A$70, [1]Legend!$B$70, IF(J120=[1]Legend!$A$71, [1]Legend!$B$71, IF(J120=[1]Legend!$A$72, [1]Legend!$B$72, (IF(J120=[1]Legend!$A$73, [1]Legend!$B$73, IF(J120=[1]Legend!$A$74, [1]Legend!$B$74, "")))))))))))</f>
        <v>25</v>
      </c>
      <c r="L120" s="20">
        <v>25</v>
      </c>
      <c r="M120" s="20"/>
      <c r="N120" s="20"/>
      <c r="O120" s="20"/>
    </row>
    <row r="121" spans="1:15" s="22" customFormat="1" ht="14" customHeight="1" x14ac:dyDescent="0.45">
      <c r="A121" s="19">
        <v>45589</v>
      </c>
      <c r="B121" s="20" t="s">
        <v>68</v>
      </c>
      <c r="C121" s="20" t="s">
        <v>16</v>
      </c>
      <c r="D121" s="20">
        <v>3</v>
      </c>
      <c r="E121" s="20">
        <v>10</v>
      </c>
      <c r="F121" s="25">
        <v>2</v>
      </c>
      <c r="G121" s="19">
        <v>45598</v>
      </c>
      <c r="H121" s="20" t="s">
        <v>17</v>
      </c>
      <c r="I121" s="20">
        <v>5</v>
      </c>
      <c r="J121" s="20" t="s">
        <v>69</v>
      </c>
      <c r="K121" s="21">
        <f>IF(J121=[1]Legend!$A$66,[1]Legend!$B$66,(IF(J121=[1]Legend!$A$67,[1]Legend!$B$67,IF(J121=[1]Legend!$A$68, [1]Legend!$B$68, IF(J121=[1]Legend!$A$69, [1]Legend!$B$69, IF(J121=[1]Legend!$A$70, [1]Legend!$B$70, IF(J121=[1]Legend!$A$71, [1]Legend!$B$71, IF(J121=[1]Legend!$A$72, [1]Legend!$B$72, (IF(J121=[1]Legend!$A$73, [1]Legend!$B$73, IF(J121=[1]Legend!$A$74, [1]Legend!$B$74, "")))))))))))</f>
        <v>120</v>
      </c>
      <c r="L121" s="20">
        <v>121</v>
      </c>
      <c r="M121" s="20"/>
      <c r="N121" s="20"/>
      <c r="O121" s="20" t="s">
        <v>22</v>
      </c>
    </row>
  </sheetData>
  <sortState xmlns:xlrd2="http://schemas.microsoft.com/office/spreadsheetml/2017/richdata2" ref="A2:O122">
    <sortCondition ref="E1:E122"/>
  </sortState>
  <dataValidations count="2">
    <dataValidation type="whole" operator="lessThanOrEqual" allowBlank="1" showInputMessage="1" showErrorMessage="1" sqref="M42" xr:uid="{7B956D6E-DBAB-4282-B8B1-7847679A9274}">
      <formula1>K42</formula1>
    </dataValidation>
    <dataValidation type="whole" operator="lessThanOrEqual" allowBlank="1" showInputMessage="1" showErrorMessage="1" sqref="L42" xr:uid="{AEC525CE-0C1D-46F2-9465-793D0C057CD7}">
      <formula1>K42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3064-D6E8-4F3F-AAE2-915D7E7B80E0}">
  <dimension ref="A1:R178"/>
  <sheetViews>
    <sheetView workbookViewId="0">
      <selection activeCell="O178" sqref="A1:O178"/>
    </sheetView>
  </sheetViews>
  <sheetFormatPr baseColWidth="10" defaultRowHeight="14.25" x14ac:dyDescent="0.45"/>
  <cols>
    <col min="18" max="18" width="38.33203125" bestFit="1" customWidth="1"/>
  </cols>
  <sheetData>
    <row r="1" spans="1:18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8" ht="14" customHeight="1" x14ac:dyDescent="0.45">
      <c r="A2" s="7">
        <v>45574</v>
      </c>
      <c r="B2" s="5" t="s">
        <v>136</v>
      </c>
      <c r="C2" s="5" t="s">
        <v>90</v>
      </c>
      <c r="D2" s="5">
        <v>1</v>
      </c>
      <c r="E2" s="5">
        <v>1</v>
      </c>
      <c r="F2" s="5">
        <v>1</v>
      </c>
      <c r="G2" s="7">
        <v>45775</v>
      </c>
      <c r="H2" s="5" t="s">
        <v>91</v>
      </c>
      <c r="I2" s="5">
        <v>1</v>
      </c>
      <c r="J2" s="5" t="s">
        <v>60</v>
      </c>
      <c r="K2" s="6">
        <f>IF(J2=[13]Legend!$A$67,[13]Legend!$B$67,(IF(J2=[13]Legend!$A$68,[13]Legend!$B$68,IF(J2=[13]Legend!$A$69, [13]Legend!$B$69, IF(J2=[13]Legend!$A$70, [13]Legend!$B$70, IF(J2=[13]Legend!$A$71, [13]Legend!$B$71, IF(J2=[13]Legend!$A$72, [13]Legend!$B$72, IF(J2=[13]Legend!$A$73, [13]Legend!$B$73, (IF(J2=[13]Legend!$A$74, [13]Legend!$B$74, IF(J2=[13]Legend!$A$75, [13]Legend!$B$75, "")))))))))))</f>
        <v>25</v>
      </c>
      <c r="L2" s="5">
        <v>25</v>
      </c>
      <c r="M2" s="5">
        <v>0</v>
      </c>
      <c r="N2" s="5"/>
      <c r="O2" s="5"/>
    </row>
    <row r="3" spans="1:18" ht="14" customHeight="1" x14ac:dyDescent="0.45">
      <c r="A3" s="7">
        <v>45574</v>
      </c>
      <c r="B3" s="5" t="s">
        <v>136</v>
      </c>
      <c r="C3" s="5" t="s">
        <v>90</v>
      </c>
      <c r="D3" s="5">
        <v>1</v>
      </c>
      <c r="E3" s="5">
        <v>1</v>
      </c>
      <c r="F3" s="5">
        <v>1</v>
      </c>
      <c r="G3" s="7">
        <v>45775</v>
      </c>
      <c r="H3" s="5" t="s">
        <v>91</v>
      </c>
      <c r="I3" s="5">
        <v>1</v>
      </c>
      <c r="J3" s="5" t="s">
        <v>18</v>
      </c>
      <c r="K3" s="6">
        <f>IF(J3=[13]Legend!$A$67,[13]Legend!$B$67,(IF(J3=[13]Legend!$A$68,[13]Legend!$B$68,IF(J3=[13]Legend!$A$69, [13]Legend!$B$69, IF(J3=[13]Legend!$A$70, [13]Legend!$B$70, IF(J3=[13]Legend!$A$71, [13]Legend!$B$71, IF(J3=[13]Legend!$A$72, [13]Legend!$B$72, IF(J3=[13]Legend!$A$73, [13]Legend!$B$73, (IF(J3=[13]Legend!$A$74, [13]Legend!$B$74, IF(J3=[13]Legend!$A$75, [13]Legend!$B$75, "")))))))))))</f>
        <v>5</v>
      </c>
      <c r="L3" s="5">
        <v>5</v>
      </c>
      <c r="M3" s="5">
        <v>0</v>
      </c>
      <c r="N3" s="5"/>
      <c r="O3" s="5"/>
      <c r="R3" s="26" t="s">
        <v>171</v>
      </c>
    </row>
    <row r="4" spans="1:18" ht="14" customHeight="1" x14ac:dyDescent="0.45">
      <c r="A4" s="7">
        <v>45574</v>
      </c>
      <c r="B4" s="5" t="s">
        <v>136</v>
      </c>
      <c r="C4" s="5" t="s">
        <v>90</v>
      </c>
      <c r="D4" s="5">
        <v>1</v>
      </c>
      <c r="E4" s="5">
        <v>1</v>
      </c>
      <c r="F4" s="5">
        <v>1</v>
      </c>
      <c r="G4" s="7">
        <v>45775</v>
      </c>
      <c r="H4" s="5" t="s">
        <v>91</v>
      </c>
      <c r="I4" s="5">
        <v>1</v>
      </c>
      <c r="J4" s="5" t="s">
        <v>69</v>
      </c>
      <c r="K4" s="6">
        <f>IF(J4=[13]Legend!$A$67,[13]Legend!$B$67,(IF(J4=[13]Legend!$A$68,[13]Legend!$B$68,IF(J4=[13]Legend!$A$69, [13]Legend!$B$69, IF(J4=[13]Legend!$A$70, [13]Legend!$B$70, IF(J4=[13]Legend!$A$71, [13]Legend!$B$71, IF(J4=[13]Legend!$A$72, [13]Legend!$B$72, IF(J4=[13]Legend!$A$73, [13]Legend!$B$73, (IF(J4=[13]Legend!$A$74, [13]Legend!$B$74, IF(J4=[13]Legend!$A$75, [13]Legend!$B$75, "")))))))))))</f>
        <v>120</v>
      </c>
      <c r="L4" s="5">
        <v>119</v>
      </c>
      <c r="M4" s="5">
        <v>1</v>
      </c>
      <c r="N4" s="5" t="s">
        <v>30</v>
      </c>
      <c r="O4" s="5"/>
      <c r="R4" s="26" t="s">
        <v>172</v>
      </c>
    </row>
    <row r="5" spans="1:18" ht="14" customHeight="1" x14ac:dyDescent="0.45">
      <c r="A5" s="7">
        <v>45581</v>
      </c>
      <c r="B5" s="5" t="s">
        <v>136</v>
      </c>
      <c r="C5" s="5" t="s">
        <v>124</v>
      </c>
      <c r="D5" s="5">
        <v>2</v>
      </c>
      <c r="E5" s="5">
        <v>1</v>
      </c>
      <c r="F5" s="5">
        <v>1</v>
      </c>
      <c r="G5" s="7">
        <v>45762</v>
      </c>
      <c r="H5" s="5" t="s">
        <v>91</v>
      </c>
      <c r="I5" s="5">
        <v>1</v>
      </c>
      <c r="J5" s="5" t="s">
        <v>60</v>
      </c>
      <c r="K5" s="6">
        <f>IF(J5=[13]Legend!$A$67,[13]Legend!$B$67,(IF(J5=[13]Legend!$A$68,[13]Legend!$B$68,IF(J5=[13]Legend!$A$69, [13]Legend!$B$69, IF(J5=[13]Legend!$A$70, [13]Legend!$B$70, IF(J5=[13]Legend!$A$71, [13]Legend!$B$71, IF(J5=[13]Legend!$A$72, [13]Legend!$B$72, IF(J5=[13]Legend!$A$73, [13]Legend!$B$73, (IF(J5=[13]Legend!$A$74, [13]Legend!$B$74, IF(J5=[13]Legend!$A$75, [13]Legend!$B$75, "")))))))))))</f>
        <v>25</v>
      </c>
      <c r="L5" s="5">
        <v>25</v>
      </c>
      <c r="M5" s="5">
        <v>2</v>
      </c>
      <c r="N5" s="5" t="s">
        <v>21</v>
      </c>
      <c r="O5" s="5" t="s">
        <v>157</v>
      </c>
    </row>
    <row r="6" spans="1:18" ht="14" customHeight="1" x14ac:dyDescent="0.45">
      <c r="A6" s="7">
        <v>45581</v>
      </c>
      <c r="B6" s="5" t="s">
        <v>136</v>
      </c>
      <c r="C6" s="5" t="s">
        <v>124</v>
      </c>
      <c r="D6" s="5">
        <v>2</v>
      </c>
      <c r="E6" s="5">
        <v>1</v>
      </c>
      <c r="F6" s="5">
        <v>1</v>
      </c>
      <c r="G6" s="7">
        <v>45762</v>
      </c>
      <c r="H6" s="5" t="s">
        <v>91</v>
      </c>
      <c r="I6" s="5">
        <v>1</v>
      </c>
      <c r="J6" s="5" t="s">
        <v>18</v>
      </c>
      <c r="K6" s="6">
        <f>IF(J6=[13]Legend!$A$67,[13]Legend!$B$67,(IF(J6=[13]Legend!$A$68,[13]Legend!$B$68,IF(J6=[13]Legend!$A$69, [13]Legend!$B$69, IF(J6=[13]Legend!$A$70, [13]Legend!$B$70, IF(J6=[13]Legend!$A$71, [13]Legend!$B$71, IF(J6=[13]Legend!$A$72, [13]Legend!$B$72, IF(J6=[13]Legend!$A$73, [13]Legend!$B$73, (IF(J6=[13]Legend!$A$74, [13]Legend!$B$74, IF(J6=[13]Legend!$A$75, [13]Legend!$B$75, "")))))))))))</f>
        <v>5</v>
      </c>
      <c r="L6" s="5">
        <v>5</v>
      </c>
      <c r="M6" s="5">
        <v>2</v>
      </c>
      <c r="N6" s="5" t="s">
        <v>23</v>
      </c>
      <c r="O6" s="5" t="s">
        <v>157</v>
      </c>
    </row>
    <row r="7" spans="1:18" ht="14" customHeight="1" x14ac:dyDescent="0.45">
      <c r="A7" s="7">
        <v>45581</v>
      </c>
      <c r="B7" s="5" t="s">
        <v>136</v>
      </c>
      <c r="C7" s="5" t="s">
        <v>124</v>
      </c>
      <c r="D7" s="5">
        <v>2</v>
      </c>
      <c r="E7" s="5">
        <v>1</v>
      </c>
      <c r="F7" s="5">
        <v>1</v>
      </c>
      <c r="G7" s="7">
        <v>45762</v>
      </c>
      <c r="H7" s="5" t="s">
        <v>91</v>
      </c>
      <c r="I7" s="5">
        <v>1</v>
      </c>
      <c r="J7" s="5" t="s">
        <v>69</v>
      </c>
      <c r="K7" s="6">
        <f>IF(J7=[13]Legend!$A$67,[13]Legend!$B$67,(IF(J7=[13]Legend!$A$68,[13]Legend!$B$68,IF(J7=[13]Legend!$A$69, [13]Legend!$B$69, IF(J7=[13]Legend!$A$70, [13]Legend!$B$70, IF(J7=[13]Legend!$A$71, [13]Legend!$B$71, IF(J7=[13]Legend!$A$72, [13]Legend!$B$72, IF(J7=[13]Legend!$A$73, [13]Legend!$B$73, (IF(J7=[13]Legend!$A$74, [13]Legend!$B$74, IF(J7=[13]Legend!$A$75, [13]Legend!$B$75, "")))))))))))</f>
        <v>120</v>
      </c>
      <c r="L7" s="5">
        <v>121</v>
      </c>
      <c r="M7" s="5">
        <v>0</v>
      </c>
      <c r="N7" s="5"/>
      <c r="O7" s="5" t="s">
        <v>157</v>
      </c>
    </row>
    <row r="8" spans="1:18" ht="14" customHeight="1" x14ac:dyDescent="0.45">
      <c r="A8" s="7">
        <v>45574</v>
      </c>
      <c r="B8" s="5" t="s">
        <v>136</v>
      </c>
      <c r="C8" s="5" t="s">
        <v>90</v>
      </c>
      <c r="D8" s="20">
        <v>1</v>
      </c>
      <c r="E8" s="5">
        <v>1</v>
      </c>
      <c r="F8" s="5">
        <v>2</v>
      </c>
      <c r="G8" s="7">
        <v>45776</v>
      </c>
      <c r="H8" s="5" t="s">
        <v>91</v>
      </c>
      <c r="I8" s="5">
        <v>1</v>
      </c>
      <c r="J8" s="5" t="s">
        <v>60</v>
      </c>
      <c r="K8" s="6">
        <f>IF(J8=[13]Legend!$A$67,[13]Legend!$B$67,(IF(J8=[13]Legend!$A$68,[13]Legend!$B$68,IF(J8=[13]Legend!$A$69, [13]Legend!$B$69, IF(J8=[13]Legend!$A$70, [13]Legend!$B$70, IF(J8=[13]Legend!$A$71, [13]Legend!$B$71, IF(J8=[13]Legend!$A$72, [13]Legend!$B$72, IF(J8=[13]Legend!$A$73, [13]Legend!$B$73, (IF(J8=[13]Legend!$A$74, [13]Legend!$B$74, IF(J8=[13]Legend!$A$75, [13]Legend!$B$75, "")))))))))))</f>
        <v>25</v>
      </c>
      <c r="L8" s="5">
        <v>25</v>
      </c>
      <c r="M8" s="5">
        <v>0</v>
      </c>
      <c r="N8" s="5"/>
      <c r="O8" s="5"/>
    </row>
    <row r="9" spans="1:18" ht="14" customHeight="1" x14ac:dyDescent="0.45">
      <c r="A9" s="7">
        <v>45574</v>
      </c>
      <c r="B9" s="5" t="s">
        <v>136</v>
      </c>
      <c r="C9" s="5" t="s">
        <v>90</v>
      </c>
      <c r="D9" s="20">
        <v>1</v>
      </c>
      <c r="E9" s="5">
        <v>1</v>
      </c>
      <c r="F9" s="5">
        <v>2</v>
      </c>
      <c r="G9" s="7">
        <v>45776</v>
      </c>
      <c r="H9" s="5" t="s">
        <v>91</v>
      </c>
      <c r="I9" s="5">
        <v>1</v>
      </c>
      <c r="J9" s="5" t="s">
        <v>18</v>
      </c>
      <c r="K9" s="6">
        <f>IF(J9=[13]Legend!$A$67,[13]Legend!$B$67,(IF(J9=[13]Legend!$A$68,[13]Legend!$B$68,IF(J9=[13]Legend!$A$69, [13]Legend!$B$69, IF(J9=[13]Legend!$A$70, [13]Legend!$B$70, IF(J9=[13]Legend!$A$71, [13]Legend!$B$71, IF(J9=[13]Legend!$A$72, [13]Legend!$B$72, IF(J9=[13]Legend!$A$73, [13]Legend!$B$73, (IF(J9=[13]Legend!$A$74, [13]Legend!$B$74, IF(J9=[13]Legend!$A$75, [13]Legend!$B$75, "")))))))))))</f>
        <v>5</v>
      </c>
      <c r="L9" s="5">
        <v>5</v>
      </c>
      <c r="M9" s="5">
        <v>0</v>
      </c>
      <c r="N9" s="5"/>
      <c r="O9" s="5"/>
    </row>
    <row r="10" spans="1:18" ht="14" customHeight="1" x14ac:dyDescent="0.45">
      <c r="A10" s="7">
        <v>45574</v>
      </c>
      <c r="B10" s="5" t="s">
        <v>136</v>
      </c>
      <c r="C10" s="5" t="s">
        <v>90</v>
      </c>
      <c r="D10" s="20">
        <v>1</v>
      </c>
      <c r="E10" s="5">
        <v>1</v>
      </c>
      <c r="F10" s="5">
        <v>2</v>
      </c>
      <c r="G10" s="7">
        <v>45776</v>
      </c>
      <c r="H10" s="5" t="s">
        <v>91</v>
      </c>
      <c r="I10" s="5">
        <v>1</v>
      </c>
      <c r="J10" s="5" t="s">
        <v>69</v>
      </c>
      <c r="K10" s="6">
        <f>IF(J10=[13]Legend!$A$67,[13]Legend!$B$67,(IF(J10=[13]Legend!$A$68,[13]Legend!$B$68,IF(J10=[13]Legend!$A$69, [13]Legend!$B$69, IF(J10=[13]Legend!$A$70, [13]Legend!$B$70, IF(J10=[13]Legend!$A$71, [13]Legend!$B$71, IF(J10=[13]Legend!$A$72, [13]Legend!$B$72, IF(J10=[13]Legend!$A$73, [13]Legend!$B$73, (IF(J10=[13]Legend!$A$74, [13]Legend!$B$74, IF(J10=[13]Legend!$A$75, [13]Legend!$B$75, "")))))))))))</f>
        <v>120</v>
      </c>
      <c r="L10" s="5">
        <v>121</v>
      </c>
      <c r="M10" s="5">
        <v>0</v>
      </c>
      <c r="N10" s="5"/>
      <c r="O10" s="5"/>
    </row>
    <row r="11" spans="1:18" ht="14" customHeight="1" x14ac:dyDescent="0.45">
      <c r="A11" s="7">
        <v>45581</v>
      </c>
      <c r="B11" s="5" t="s">
        <v>136</v>
      </c>
      <c r="C11" s="5" t="s">
        <v>124</v>
      </c>
      <c r="D11" s="5">
        <v>2</v>
      </c>
      <c r="E11" s="5">
        <v>1</v>
      </c>
      <c r="F11" s="5">
        <v>2</v>
      </c>
      <c r="G11" s="7">
        <v>45782</v>
      </c>
      <c r="H11" s="5" t="s">
        <v>91</v>
      </c>
      <c r="I11" s="5">
        <v>1</v>
      </c>
      <c r="J11" s="5" t="s">
        <v>60</v>
      </c>
      <c r="K11" s="6">
        <f>IF(J11=[13]Legend!$A$67,[13]Legend!$B$67,(IF(J11=[13]Legend!$A$68,[13]Legend!$B$68,IF(J11=[13]Legend!$A$69, [13]Legend!$B$69, IF(J11=[13]Legend!$A$70, [13]Legend!$B$70, IF(J11=[13]Legend!$A$71, [13]Legend!$B$71, IF(J11=[13]Legend!$A$72, [13]Legend!$B$72, IF(J11=[13]Legend!$A$73, [13]Legend!$B$73, (IF(J11=[13]Legend!$A$74, [13]Legend!$B$74, IF(J11=[13]Legend!$A$75, [13]Legend!$B$75, "")))))))))))</f>
        <v>25</v>
      </c>
      <c r="L11" s="5">
        <v>25</v>
      </c>
      <c r="M11" s="5">
        <v>0</v>
      </c>
      <c r="N11" s="5"/>
      <c r="O11" s="5" t="s">
        <v>159</v>
      </c>
    </row>
    <row r="12" spans="1:18" ht="14" customHeight="1" x14ac:dyDescent="0.45">
      <c r="A12" s="7">
        <v>45581</v>
      </c>
      <c r="B12" s="5" t="s">
        <v>136</v>
      </c>
      <c r="C12" s="5" t="s">
        <v>124</v>
      </c>
      <c r="D12" s="5">
        <v>2</v>
      </c>
      <c r="E12" s="5">
        <v>1</v>
      </c>
      <c r="F12" s="5">
        <v>2</v>
      </c>
      <c r="G12" s="7">
        <v>45782</v>
      </c>
      <c r="H12" s="5" t="s">
        <v>91</v>
      </c>
      <c r="I12" s="5">
        <v>1</v>
      </c>
      <c r="J12" s="5" t="s">
        <v>18</v>
      </c>
      <c r="K12" s="6">
        <f>IF(J12=[13]Legend!$A$67,[13]Legend!$B$67,(IF(J12=[13]Legend!$A$68,[13]Legend!$B$68,IF(J12=[13]Legend!$A$69, [13]Legend!$B$69, IF(J12=[13]Legend!$A$70, [13]Legend!$B$70, IF(J12=[13]Legend!$A$71, [13]Legend!$B$71, IF(J12=[13]Legend!$A$72, [13]Legend!$B$72, IF(J12=[13]Legend!$A$73, [13]Legend!$B$73, (IF(J12=[13]Legend!$A$74, [13]Legend!$B$74, IF(J12=[13]Legend!$A$75, [13]Legend!$B$75, "")))))))))))</f>
        <v>5</v>
      </c>
      <c r="L12" s="5">
        <v>5</v>
      </c>
      <c r="M12" s="5">
        <v>0</v>
      </c>
      <c r="N12" s="5"/>
      <c r="O12" s="5" t="s">
        <v>159</v>
      </c>
    </row>
    <row r="13" spans="1:18" ht="14" customHeight="1" x14ac:dyDescent="0.45">
      <c r="A13" s="7">
        <v>45581</v>
      </c>
      <c r="B13" s="5" t="s">
        <v>136</v>
      </c>
      <c r="C13" s="5" t="s">
        <v>124</v>
      </c>
      <c r="D13" s="5">
        <v>2</v>
      </c>
      <c r="E13" s="5">
        <v>1</v>
      </c>
      <c r="F13" s="5">
        <v>2</v>
      </c>
      <c r="G13" s="7">
        <v>45782</v>
      </c>
      <c r="H13" s="5" t="s">
        <v>91</v>
      </c>
      <c r="I13" s="5">
        <v>1</v>
      </c>
      <c r="J13" s="5" t="s">
        <v>69</v>
      </c>
      <c r="K13" s="6">
        <f>IF(J13=[13]Legend!$A$67,[13]Legend!$B$67,(IF(J13=[13]Legend!$A$68,[13]Legend!$B$68,IF(J13=[13]Legend!$A$69, [13]Legend!$B$69, IF(J13=[13]Legend!$A$70, [13]Legend!$B$70, IF(J13=[13]Legend!$A$71, [13]Legend!$B$71, IF(J13=[13]Legend!$A$72, [13]Legend!$B$72, IF(J13=[13]Legend!$A$73, [13]Legend!$B$73, (IF(J13=[13]Legend!$A$74, [13]Legend!$B$74, IF(J13=[13]Legend!$A$75, [13]Legend!$B$75, "")))))))))))</f>
        <v>120</v>
      </c>
      <c r="L13" s="5">
        <v>119</v>
      </c>
      <c r="M13" s="5">
        <v>1</v>
      </c>
      <c r="N13" s="5" t="s">
        <v>21</v>
      </c>
      <c r="O13" s="5" t="s">
        <v>159</v>
      </c>
    </row>
    <row r="14" spans="1:18" ht="14" customHeight="1" x14ac:dyDescent="0.45">
      <c r="A14" s="7">
        <v>45588</v>
      </c>
      <c r="B14" s="5" t="s">
        <v>136</v>
      </c>
      <c r="C14" s="5" t="s">
        <v>124</v>
      </c>
      <c r="D14" s="5">
        <v>3</v>
      </c>
      <c r="E14" s="5">
        <v>1</v>
      </c>
      <c r="F14" s="5">
        <v>2</v>
      </c>
      <c r="G14" s="7">
        <v>45740</v>
      </c>
      <c r="H14" s="5" t="s">
        <v>91</v>
      </c>
      <c r="I14" s="5">
        <v>1</v>
      </c>
      <c r="J14" s="5" t="s">
        <v>60</v>
      </c>
      <c r="K14" s="6">
        <f>IF(J14=[11]Legend!$A$67,[11]Legend!$B$67,(IF(J14=[11]Legend!$A$68,[11]Legend!$B$68,IF(J14=[11]Legend!$A$69, [11]Legend!$B$69, IF(J14=[11]Legend!$A$70, [11]Legend!$B$70, IF(J14=[11]Legend!$A$71, [11]Legend!$B$71, IF(J14=[11]Legend!$A$72, [11]Legend!$B$72, IF(J14=[11]Legend!$A$73, [11]Legend!$B$73, (IF(J14=[11]Legend!$A$74, [11]Legend!$B$74, IF(J14=[11]Legend!$A$75, [11]Legend!$B$75, "")))))))))))</f>
        <v>25</v>
      </c>
      <c r="L14" s="5">
        <v>25</v>
      </c>
      <c r="M14" s="5">
        <v>1</v>
      </c>
      <c r="N14" s="5" t="s">
        <v>21</v>
      </c>
      <c r="O14" s="5" t="s">
        <v>145</v>
      </c>
    </row>
    <row r="15" spans="1:18" ht="14" customHeight="1" x14ac:dyDescent="0.45">
      <c r="A15" s="7">
        <v>45588</v>
      </c>
      <c r="B15" s="5" t="s">
        <v>136</v>
      </c>
      <c r="C15" s="5" t="s">
        <v>124</v>
      </c>
      <c r="D15" s="5">
        <v>3</v>
      </c>
      <c r="E15" s="5">
        <v>1</v>
      </c>
      <c r="F15" s="5">
        <v>2</v>
      </c>
      <c r="G15" s="7">
        <v>45740</v>
      </c>
      <c r="H15" s="5" t="s">
        <v>91</v>
      </c>
      <c r="I15" s="5">
        <v>1</v>
      </c>
      <c r="J15" s="5" t="s">
        <v>18</v>
      </c>
      <c r="K15" s="6">
        <f>IF(J15=[11]Legend!$A$67,[11]Legend!$B$67,(IF(J15=[11]Legend!$A$68,[11]Legend!$B$68,IF(J15=[11]Legend!$A$69, [11]Legend!$B$69, IF(J15=[11]Legend!$A$70, [11]Legend!$B$70, IF(J15=[11]Legend!$A$71, [11]Legend!$B$71, IF(J15=[11]Legend!$A$72, [11]Legend!$B$72, IF(J15=[11]Legend!$A$73, [11]Legend!$B$73, (IF(J15=[11]Legend!$A$74, [11]Legend!$B$74, IF(J15=[11]Legend!$A$75, [11]Legend!$B$75, "")))))))))))</f>
        <v>5</v>
      </c>
      <c r="L15" s="5">
        <v>5</v>
      </c>
      <c r="M15" s="5">
        <v>0</v>
      </c>
      <c r="N15" s="5"/>
      <c r="O15" s="5" t="s">
        <v>145</v>
      </c>
    </row>
    <row r="16" spans="1:18" ht="14" customHeight="1" x14ac:dyDescent="0.45">
      <c r="A16" s="7">
        <v>45588</v>
      </c>
      <c r="B16" s="5" t="s">
        <v>136</v>
      </c>
      <c r="C16" s="5" t="s">
        <v>124</v>
      </c>
      <c r="D16" s="5">
        <v>3</v>
      </c>
      <c r="E16" s="5">
        <v>1</v>
      </c>
      <c r="F16" s="5">
        <v>2</v>
      </c>
      <c r="G16" s="7">
        <v>45740</v>
      </c>
      <c r="H16" s="5" t="s">
        <v>91</v>
      </c>
      <c r="I16" s="5">
        <v>1</v>
      </c>
      <c r="J16" s="5" t="s">
        <v>69</v>
      </c>
      <c r="K16" s="6">
        <f>IF(J16=[11]Legend!$A$67,[11]Legend!$B$67,(IF(J16=[11]Legend!$A$68,[11]Legend!$B$68,IF(J16=[11]Legend!$A$69, [11]Legend!$B$69, IF(J16=[11]Legend!$A$70, [11]Legend!$B$70, IF(J16=[11]Legend!$A$71, [11]Legend!$B$71, IF(J16=[11]Legend!$A$72, [11]Legend!$B$72, IF(J16=[11]Legend!$A$73, [11]Legend!$B$73, (IF(J16=[11]Legend!$A$74, [11]Legend!$B$74, IF(J16=[11]Legend!$A$75, [11]Legend!$B$75, "")))))))))))</f>
        <v>120</v>
      </c>
      <c r="L16" s="5">
        <v>121</v>
      </c>
      <c r="M16" s="5">
        <v>0</v>
      </c>
      <c r="N16" s="5"/>
      <c r="O16" s="5" t="s">
        <v>145</v>
      </c>
    </row>
    <row r="17" spans="1:15" ht="14" customHeight="1" x14ac:dyDescent="0.45">
      <c r="A17" s="7">
        <v>45588</v>
      </c>
      <c r="B17" s="5" t="s">
        <v>136</v>
      </c>
      <c r="C17" s="5" t="s">
        <v>16</v>
      </c>
      <c r="D17" s="5">
        <v>3</v>
      </c>
      <c r="E17" s="5">
        <v>1</v>
      </c>
      <c r="F17" s="5">
        <v>1</v>
      </c>
      <c r="G17" s="7">
        <v>45741</v>
      </c>
      <c r="H17" s="5" t="s">
        <v>91</v>
      </c>
      <c r="I17" s="5">
        <v>1</v>
      </c>
      <c r="J17" s="5" t="s">
        <v>60</v>
      </c>
      <c r="K17" s="6">
        <f>IF(J17=[11]Legend!$A$67,[11]Legend!$B$67,(IF(J17=[11]Legend!$A$68,[11]Legend!$B$68,IF(J17=[11]Legend!$A$69, [11]Legend!$B$69, IF(J17=[11]Legend!$A$70, [11]Legend!$B$70, IF(J17=[11]Legend!$A$71, [11]Legend!$B$71, IF(J17=[11]Legend!$A$72, [11]Legend!$B$72, IF(J17=[11]Legend!$A$73, [11]Legend!$B$73, (IF(J17=[11]Legend!$A$74, [11]Legend!$B$74, IF(J17=[11]Legend!$A$75, [11]Legend!$B$75, "")))))))))))</f>
        <v>25</v>
      </c>
      <c r="L17" s="5">
        <v>25</v>
      </c>
      <c r="M17" s="5">
        <v>0</v>
      </c>
      <c r="N17" s="5"/>
      <c r="O17" s="5" t="s">
        <v>146</v>
      </c>
    </row>
    <row r="18" spans="1:15" ht="14" customHeight="1" x14ac:dyDescent="0.45">
      <c r="A18" s="7">
        <v>45588</v>
      </c>
      <c r="B18" s="5" t="s">
        <v>136</v>
      </c>
      <c r="C18" s="5" t="s">
        <v>16</v>
      </c>
      <c r="D18" s="5">
        <v>3</v>
      </c>
      <c r="E18" s="5">
        <v>1</v>
      </c>
      <c r="F18" s="5">
        <v>1</v>
      </c>
      <c r="G18" s="7">
        <v>45741</v>
      </c>
      <c r="H18" s="5" t="s">
        <v>91</v>
      </c>
      <c r="I18" s="5">
        <v>1</v>
      </c>
      <c r="J18" s="5" t="s">
        <v>18</v>
      </c>
      <c r="K18" s="6">
        <f>IF(J18=[11]Legend!$A$67,[11]Legend!$B$67,(IF(J18=[11]Legend!$A$68,[11]Legend!$B$68,IF(J18=[11]Legend!$A$69, [11]Legend!$B$69, IF(J18=[11]Legend!$A$70, [11]Legend!$B$70, IF(J18=[11]Legend!$A$71, [11]Legend!$B$71, IF(J18=[11]Legend!$A$72, [11]Legend!$B$72, IF(J18=[11]Legend!$A$73, [11]Legend!$B$73, (IF(J18=[11]Legend!$A$74, [11]Legend!$B$74, IF(J18=[11]Legend!$A$75, [11]Legend!$B$75, "")))))))))))</f>
        <v>5</v>
      </c>
      <c r="L18" s="5">
        <v>0</v>
      </c>
      <c r="M18" s="5">
        <v>0</v>
      </c>
      <c r="N18" s="5"/>
      <c r="O18" s="5" t="s">
        <v>146</v>
      </c>
    </row>
    <row r="19" spans="1:15" ht="14" customHeight="1" x14ac:dyDescent="0.45">
      <c r="A19" s="7">
        <v>45588</v>
      </c>
      <c r="B19" s="5" t="s">
        <v>136</v>
      </c>
      <c r="C19" s="5" t="s">
        <v>16</v>
      </c>
      <c r="D19" s="5">
        <v>3</v>
      </c>
      <c r="E19" s="5">
        <v>1</v>
      </c>
      <c r="F19" s="5">
        <v>1</v>
      </c>
      <c r="G19" s="7">
        <v>45741</v>
      </c>
      <c r="H19" s="5" t="s">
        <v>91</v>
      </c>
      <c r="I19" s="5">
        <v>1</v>
      </c>
      <c r="J19" s="5" t="s">
        <v>69</v>
      </c>
      <c r="K19" s="6">
        <f>IF(J19=[11]Legend!$A$67,[11]Legend!$B$67,(IF(J19=[11]Legend!$A$68,[11]Legend!$B$68,IF(J19=[11]Legend!$A$69, [11]Legend!$B$69, IF(J19=[11]Legend!$A$70, [11]Legend!$B$70, IF(J19=[11]Legend!$A$71, [11]Legend!$B$71, IF(J19=[11]Legend!$A$72, [11]Legend!$B$72, IF(J19=[11]Legend!$A$73, [11]Legend!$B$73, (IF(J19=[11]Legend!$A$74, [11]Legend!$B$74, IF(J19=[11]Legend!$A$75, [11]Legend!$B$75, "")))))))))))</f>
        <v>120</v>
      </c>
      <c r="L19" s="5">
        <v>9</v>
      </c>
      <c r="M19" s="5">
        <v>2</v>
      </c>
      <c r="N19" s="5" t="s">
        <v>21</v>
      </c>
      <c r="O19" s="5" t="s">
        <v>146</v>
      </c>
    </row>
    <row r="20" spans="1:15" ht="14" customHeight="1" x14ac:dyDescent="0.45">
      <c r="A20" s="7">
        <v>45574</v>
      </c>
      <c r="B20" s="5" t="s">
        <v>136</v>
      </c>
      <c r="C20" s="5" t="s">
        <v>90</v>
      </c>
      <c r="D20" s="5">
        <v>1</v>
      </c>
      <c r="E20" s="5">
        <v>2</v>
      </c>
      <c r="F20" s="5">
        <v>2</v>
      </c>
      <c r="G20" s="7">
        <v>45769</v>
      </c>
      <c r="H20" s="5" t="s">
        <v>91</v>
      </c>
      <c r="I20" s="5">
        <v>1</v>
      </c>
      <c r="J20" s="5" t="s">
        <v>60</v>
      </c>
      <c r="K20" s="6">
        <f>IF(J20=[13]Legend!$A$67,[13]Legend!$B$67,(IF(J20=[13]Legend!$A$68,[13]Legend!$B$68,IF(J20=[13]Legend!$A$69, [13]Legend!$B$69, IF(J20=[13]Legend!$A$70, [13]Legend!$B$70, IF(J20=[13]Legend!$A$71, [13]Legend!$B$71, IF(J20=[13]Legend!$A$72, [13]Legend!$B$72, IF(J20=[13]Legend!$A$73, [13]Legend!$B$73, (IF(J20=[13]Legend!$A$74, [13]Legend!$B$74, IF(J20=[13]Legend!$A$75, [13]Legend!$B$75, "")))))))))))</f>
        <v>25</v>
      </c>
      <c r="L20" s="5">
        <v>25</v>
      </c>
      <c r="M20" s="5">
        <v>0</v>
      </c>
      <c r="N20" s="5"/>
      <c r="O20" s="5"/>
    </row>
    <row r="21" spans="1:15" ht="14" customHeight="1" x14ac:dyDescent="0.45">
      <c r="A21" s="7">
        <v>45574</v>
      </c>
      <c r="B21" s="5" t="s">
        <v>136</v>
      </c>
      <c r="C21" s="5" t="s">
        <v>90</v>
      </c>
      <c r="D21" s="5">
        <v>1</v>
      </c>
      <c r="E21" s="5">
        <v>2</v>
      </c>
      <c r="F21" s="5">
        <v>2</v>
      </c>
      <c r="G21" s="7">
        <v>45769</v>
      </c>
      <c r="H21" s="5" t="s">
        <v>91</v>
      </c>
      <c r="I21" s="5">
        <v>1</v>
      </c>
      <c r="J21" s="5" t="s">
        <v>18</v>
      </c>
      <c r="K21" s="6">
        <f>IF(J21=[13]Legend!$A$67,[13]Legend!$B$67,(IF(J21=[13]Legend!$A$68,[13]Legend!$B$68,IF(J21=[13]Legend!$A$69, [13]Legend!$B$69, IF(J21=[13]Legend!$A$70, [13]Legend!$B$70, IF(J21=[13]Legend!$A$71, [13]Legend!$B$71, IF(J21=[13]Legend!$A$72, [13]Legend!$B$72, IF(J21=[13]Legend!$A$73, [13]Legend!$B$73, (IF(J21=[13]Legend!$A$74, [13]Legend!$B$74, IF(J21=[13]Legend!$A$75, [13]Legend!$B$75, "")))))))))))</f>
        <v>5</v>
      </c>
      <c r="L21" s="5">
        <v>5</v>
      </c>
      <c r="M21" s="5">
        <v>0</v>
      </c>
      <c r="N21" s="5"/>
      <c r="O21" s="5"/>
    </row>
    <row r="22" spans="1:15" ht="14" customHeight="1" x14ac:dyDescent="0.45">
      <c r="A22" s="7">
        <v>45574</v>
      </c>
      <c r="B22" s="5" t="s">
        <v>136</v>
      </c>
      <c r="C22" s="5" t="s">
        <v>90</v>
      </c>
      <c r="D22" s="5">
        <v>1</v>
      </c>
      <c r="E22" s="5">
        <v>2</v>
      </c>
      <c r="F22" s="5">
        <v>2</v>
      </c>
      <c r="G22" s="7">
        <v>45769</v>
      </c>
      <c r="H22" s="5" t="s">
        <v>91</v>
      </c>
      <c r="I22" s="5">
        <v>1</v>
      </c>
      <c r="J22" s="5" t="s">
        <v>69</v>
      </c>
      <c r="K22" s="6">
        <f>IF(J22=[13]Legend!$A$67,[13]Legend!$B$67,(IF(J22=[13]Legend!$A$68,[13]Legend!$B$68,IF(J22=[13]Legend!$A$69, [13]Legend!$B$69, IF(J22=[13]Legend!$A$70, [13]Legend!$B$70, IF(J22=[13]Legend!$A$71, [13]Legend!$B$71, IF(J22=[13]Legend!$A$72, [13]Legend!$B$72, IF(J22=[13]Legend!$A$73, [13]Legend!$B$73, (IF(J22=[13]Legend!$A$74, [13]Legend!$B$74, IF(J22=[13]Legend!$A$75, [13]Legend!$B$75, "")))))))))))</f>
        <v>120</v>
      </c>
      <c r="L22" s="5">
        <v>119</v>
      </c>
      <c r="M22" s="5">
        <v>0</v>
      </c>
      <c r="N22" s="5"/>
      <c r="O22" s="5"/>
    </row>
    <row r="23" spans="1:15" ht="14" customHeight="1" x14ac:dyDescent="0.45">
      <c r="A23" s="7">
        <v>45581</v>
      </c>
      <c r="B23" s="5" t="s">
        <v>136</v>
      </c>
      <c r="C23" s="5" t="s">
        <v>124</v>
      </c>
      <c r="D23" s="5">
        <v>2</v>
      </c>
      <c r="E23" s="5">
        <v>2</v>
      </c>
      <c r="F23" s="5">
        <v>2</v>
      </c>
      <c r="G23" s="7">
        <v>45769</v>
      </c>
      <c r="H23" s="5" t="s">
        <v>91</v>
      </c>
      <c r="I23" s="5">
        <v>1</v>
      </c>
      <c r="J23" s="5" t="s">
        <v>60</v>
      </c>
      <c r="K23" s="6">
        <f>IF(J23=[13]Legend!$A$67,[13]Legend!$B$67,(IF(J23=[13]Legend!$A$68,[13]Legend!$B$68,IF(J23=[13]Legend!$A$69, [13]Legend!$B$69, IF(J23=[13]Legend!$A$70, [13]Legend!$B$70, IF(J23=[13]Legend!$A$71, [13]Legend!$B$71, IF(J23=[13]Legend!$A$72, [13]Legend!$B$72, IF(J23=[13]Legend!$A$73, [13]Legend!$B$73, (IF(J23=[13]Legend!$A$74, [13]Legend!$B$74, IF(J23=[13]Legend!$A$75, [13]Legend!$B$75, "")))))))))))</f>
        <v>25</v>
      </c>
      <c r="L23" s="5">
        <v>25</v>
      </c>
      <c r="M23" s="5">
        <v>1</v>
      </c>
      <c r="N23" s="5" t="s">
        <v>21</v>
      </c>
      <c r="O23" s="5"/>
    </row>
    <row r="24" spans="1:15" ht="14" customHeight="1" x14ac:dyDescent="0.45">
      <c r="A24" s="7">
        <v>45581</v>
      </c>
      <c r="B24" s="5" t="s">
        <v>136</v>
      </c>
      <c r="C24" s="5" t="s">
        <v>124</v>
      </c>
      <c r="D24" s="5">
        <v>2</v>
      </c>
      <c r="E24" s="5">
        <v>2</v>
      </c>
      <c r="F24" s="5">
        <v>2</v>
      </c>
      <c r="G24" s="7">
        <v>45769</v>
      </c>
      <c r="H24" s="5" t="s">
        <v>91</v>
      </c>
      <c r="I24" s="5">
        <v>1</v>
      </c>
      <c r="J24" s="5" t="s">
        <v>18</v>
      </c>
      <c r="K24" s="6">
        <f>IF(J24=[13]Legend!$A$67,[13]Legend!$B$67,(IF(J24=[13]Legend!$A$68,[13]Legend!$B$68,IF(J24=[13]Legend!$A$69, [13]Legend!$B$69, IF(J24=[13]Legend!$A$70, [13]Legend!$B$70, IF(J24=[13]Legend!$A$71, [13]Legend!$B$71, IF(J24=[13]Legend!$A$72, [13]Legend!$B$72, IF(J24=[13]Legend!$A$73, [13]Legend!$B$73, (IF(J24=[13]Legend!$A$74, [13]Legend!$B$74, IF(J24=[13]Legend!$A$75, [13]Legend!$B$75, "")))))))))))</f>
        <v>5</v>
      </c>
      <c r="L24" s="5">
        <v>5</v>
      </c>
      <c r="M24" s="5">
        <v>0</v>
      </c>
      <c r="N24" s="5"/>
      <c r="O24" s="5"/>
    </row>
    <row r="25" spans="1:15" ht="14" customHeight="1" x14ac:dyDescent="0.45">
      <c r="A25" s="7">
        <v>45581</v>
      </c>
      <c r="B25" s="5" t="s">
        <v>136</v>
      </c>
      <c r="C25" s="5" t="s">
        <v>124</v>
      </c>
      <c r="D25" s="5">
        <v>2</v>
      </c>
      <c r="E25" s="5">
        <v>2</v>
      </c>
      <c r="F25" s="5">
        <v>2</v>
      </c>
      <c r="G25" s="7">
        <v>45769</v>
      </c>
      <c r="H25" s="5" t="s">
        <v>91</v>
      </c>
      <c r="I25" s="5">
        <v>1</v>
      </c>
      <c r="J25" s="5" t="s">
        <v>69</v>
      </c>
      <c r="K25" s="6">
        <f>IF(J25=[13]Legend!$A$67,[13]Legend!$B$67,(IF(J25=[13]Legend!$A$68,[13]Legend!$B$68,IF(J25=[13]Legend!$A$69, [13]Legend!$B$69, IF(J25=[13]Legend!$A$70, [13]Legend!$B$70, IF(J25=[13]Legend!$A$71, [13]Legend!$B$71, IF(J25=[13]Legend!$A$72, [13]Legend!$B$72, IF(J25=[13]Legend!$A$73, [13]Legend!$B$73, (IF(J25=[13]Legend!$A$74, [13]Legend!$B$74, IF(J25=[13]Legend!$A$75, [13]Legend!$B$75, "")))))))))))</f>
        <v>120</v>
      </c>
      <c r="L25" s="5">
        <v>120</v>
      </c>
      <c r="M25" s="5">
        <v>0</v>
      </c>
      <c r="N25" s="5"/>
      <c r="O25" s="5"/>
    </row>
    <row r="26" spans="1:15" ht="14" customHeight="1" x14ac:dyDescent="0.45">
      <c r="A26" s="7">
        <v>45581</v>
      </c>
      <c r="B26" s="5" t="s">
        <v>136</v>
      </c>
      <c r="C26" s="5" t="s">
        <v>124</v>
      </c>
      <c r="D26" s="5">
        <v>2</v>
      </c>
      <c r="E26" s="5">
        <v>2</v>
      </c>
      <c r="F26" s="5">
        <v>1</v>
      </c>
      <c r="G26" s="7">
        <v>45776</v>
      </c>
      <c r="H26" s="5" t="s">
        <v>91</v>
      </c>
      <c r="I26" s="5">
        <v>1</v>
      </c>
      <c r="J26" s="5" t="s">
        <v>60</v>
      </c>
      <c r="K26" s="6">
        <f>IF(J26=[13]Legend!$A$67,[13]Legend!$B$67,(IF(J26=[13]Legend!$A$68,[13]Legend!$B$68,IF(J26=[13]Legend!$A$69, [13]Legend!$B$69, IF(J26=[13]Legend!$A$70, [13]Legend!$B$70, IF(J26=[13]Legend!$A$71, [13]Legend!$B$71, IF(J26=[13]Legend!$A$72, [13]Legend!$B$72, IF(J26=[13]Legend!$A$73, [13]Legend!$B$73, (IF(J26=[13]Legend!$A$74, [13]Legend!$B$74, IF(J26=[13]Legend!$A$75, [13]Legend!$B$75, "")))))))))))</f>
        <v>25</v>
      </c>
      <c r="L26" s="5">
        <v>25</v>
      </c>
      <c r="M26" s="5">
        <v>1</v>
      </c>
      <c r="N26" s="5" t="s">
        <v>21</v>
      </c>
      <c r="O26" s="5"/>
    </row>
    <row r="27" spans="1:15" ht="14" customHeight="1" x14ac:dyDescent="0.45">
      <c r="A27" s="7">
        <v>45581</v>
      </c>
      <c r="B27" s="5" t="s">
        <v>136</v>
      </c>
      <c r="C27" s="5" t="s">
        <v>124</v>
      </c>
      <c r="D27" s="5">
        <v>2</v>
      </c>
      <c r="E27" s="5">
        <v>2</v>
      </c>
      <c r="F27" s="5">
        <v>1</v>
      </c>
      <c r="G27" s="7">
        <v>45776</v>
      </c>
      <c r="H27" s="5" t="s">
        <v>91</v>
      </c>
      <c r="I27" s="5">
        <v>1</v>
      </c>
      <c r="J27" s="5" t="s">
        <v>18</v>
      </c>
      <c r="K27" s="6">
        <f>IF(J27=[13]Legend!$A$67,[13]Legend!$B$67,(IF(J27=[13]Legend!$A$68,[13]Legend!$B$68,IF(J27=[13]Legend!$A$69, [13]Legend!$B$69, IF(J27=[13]Legend!$A$70, [13]Legend!$B$70, IF(J27=[13]Legend!$A$71, [13]Legend!$B$71, IF(J27=[13]Legend!$A$72, [13]Legend!$B$72, IF(J27=[13]Legend!$A$73, [13]Legend!$B$73, (IF(J27=[13]Legend!$A$74, [13]Legend!$B$74, IF(J27=[13]Legend!$A$75, [13]Legend!$B$75, "")))))))))))</f>
        <v>5</v>
      </c>
      <c r="L27" s="5">
        <v>5</v>
      </c>
      <c r="M27" s="5">
        <v>0</v>
      </c>
      <c r="N27" s="5"/>
      <c r="O27" s="5"/>
    </row>
    <row r="28" spans="1:15" ht="14" customHeight="1" x14ac:dyDescent="0.45">
      <c r="A28" s="7">
        <v>45581</v>
      </c>
      <c r="B28" s="5" t="s">
        <v>136</v>
      </c>
      <c r="C28" s="5" t="s">
        <v>124</v>
      </c>
      <c r="D28" s="5">
        <v>2</v>
      </c>
      <c r="E28" s="5">
        <v>2</v>
      </c>
      <c r="F28" s="5">
        <v>1</v>
      </c>
      <c r="G28" s="7">
        <v>45776</v>
      </c>
      <c r="H28" s="5" t="s">
        <v>91</v>
      </c>
      <c r="I28" s="5">
        <v>1</v>
      </c>
      <c r="J28" s="5" t="s">
        <v>69</v>
      </c>
      <c r="K28" s="6">
        <f>IF(J28=[13]Legend!$A$67,[13]Legend!$B$67,(IF(J28=[13]Legend!$A$68,[13]Legend!$B$68,IF(J28=[13]Legend!$A$69, [13]Legend!$B$69, IF(J28=[13]Legend!$A$70, [13]Legend!$B$70, IF(J28=[13]Legend!$A$71, [13]Legend!$B$71, IF(J28=[13]Legend!$A$72, [13]Legend!$B$72, IF(J28=[13]Legend!$A$73, [13]Legend!$B$73, (IF(J28=[13]Legend!$A$74, [13]Legend!$B$74, IF(J28=[13]Legend!$A$75, [13]Legend!$B$75, "")))))))))))</f>
        <v>120</v>
      </c>
      <c r="L28" s="5">
        <v>119</v>
      </c>
      <c r="M28" s="5">
        <v>2</v>
      </c>
      <c r="N28" s="5" t="s">
        <v>30</v>
      </c>
      <c r="O28" s="5"/>
    </row>
    <row r="29" spans="1:15" ht="14" customHeight="1" x14ac:dyDescent="0.45">
      <c r="A29" s="7">
        <v>45574</v>
      </c>
      <c r="B29" s="5" t="s">
        <v>136</v>
      </c>
      <c r="C29" s="5" t="s">
        <v>90</v>
      </c>
      <c r="D29" s="20">
        <v>1</v>
      </c>
      <c r="E29" s="5">
        <v>2</v>
      </c>
      <c r="F29" s="5">
        <v>1</v>
      </c>
      <c r="G29" s="7">
        <v>45777</v>
      </c>
      <c r="H29" s="5" t="s">
        <v>91</v>
      </c>
      <c r="I29" s="5">
        <v>1</v>
      </c>
      <c r="J29" s="5" t="s">
        <v>60</v>
      </c>
      <c r="K29" s="6">
        <f>IF(J29=[13]Legend!$A$67,[13]Legend!$B$67,(IF(J29=[13]Legend!$A$68,[13]Legend!$B$68,IF(J29=[13]Legend!$A$69, [13]Legend!$B$69, IF(J29=[13]Legend!$A$70, [13]Legend!$B$70, IF(J29=[13]Legend!$A$71, [13]Legend!$B$71, IF(J29=[13]Legend!$A$72, [13]Legend!$B$72, IF(J29=[13]Legend!$A$73, [13]Legend!$B$73, (IF(J29=[13]Legend!$A$74, [13]Legend!$B$74, IF(J29=[13]Legend!$A$75, [13]Legend!$B$75, "")))))))))))</f>
        <v>25</v>
      </c>
      <c r="L29" s="5">
        <v>25</v>
      </c>
      <c r="M29" s="5">
        <v>0</v>
      </c>
      <c r="N29" s="5"/>
      <c r="O29" s="5"/>
    </row>
    <row r="30" spans="1:15" ht="14" customHeight="1" x14ac:dyDescent="0.45">
      <c r="A30" s="7">
        <v>45574</v>
      </c>
      <c r="B30" s="5" t="s">
        <v>136</v>
      </c>
      <c r="C30" s="5" t="s">
        <v>90</v>
      </c>
      <c r="D30" s="20">
        <v>1</v>
      </c>
      <c r="E30" s="5">
        <v>2</v>
      </c>
      <c r="F30" s="5">
        <v>1</v>
      </c>
      <c r="G30" s="7">
        <v>45777</v>
      </c>
      <c r="H30" s="5" t="s">
        <v>91</v>
      </c>
      <c r="I30" s="5">
        <v>1</v>
      </c>
      <c r="J30" s="5" t="s">
        <v>18</v>
      </c>
      <c r="K30" s="6">
        <f>IF(J30=[13]Legend!$A$67,[13]Legend!$B$67,(IF(J30=[13]Legend!$A$68,[13]Legend!$B$68,IF(J30=[13]Legend!$A$69, [13]Legend!$B$69, IF(J30=[13]Legend!$A$70, [13]Legend!$B$70, IF(J30=[13]Legend!$A$71, [13]Legend!$B$71, IF(J30=[13]Legend!$A$72, [13]Legend!$B$72, IF(J30=[13]Legend!$A$73, [13]Legend!$B$73, (IF(J30=[13]Legend!$A$74, [13]Legend!$B$74, IF(J30=[13]Legend!$A$75, [13]Legend!$B$75, "")))))))))))</f>
        <v>5</v>
      </c>
      <c r="L30" s="5">
        <v>5</v>
      </c>
      <c r="M30" s="5">
        <v>0</v>
      </c>
      <c r="N30" s="5"/>
      <c r="O30" s="5"/>
    </row>
    <row r="31" spans="1:15" ht="14" customHeight="1" x14ac:dyDescent="0.45">
      <c r="A31" s="8">
        <v>45574</v>
      </c>
      <c r="B31" s="15" t="s">
        <v>136</v>
      </c>
      <c r="C31" s="15" t="s">
        <v>90</v>
      </c>
      <c r="D31" s="23">
        <v>1</v>
      </c>
      <c r="E31" s="15">
        <v>2</v>
      </c>
      <c r="F31" s="15">
        <v>1</v>
      </c>
      <c r="G31" s="8">
        <v>45777</v>
      </c>
      <c r="H31" s="15" t="s">
        <v>91</v>
      </c>
      <c r="I31" s="15">
        <v>1</v>
      </c>
      <c r="J31" s="5" t="s">
        <v>69</v>
      </c>
      <c r="K31" s="6">
        <f>IF(J31=[13]Legend!$A$67,[13]Legend!$B$67,(IF(J31=[13]Legend!$A$68,[13]Legend!$B$68,IF(J31=[13]Legend!$A$69, [13]Legend!$B$69, IF(J31=[13]Legend!$A$70, [13]Legend!$B$70, IF(J31=[13]Legend!$A$71, [13]Legend!$B$71, IF(J31=[13]Legend!$A$72, [13]Legend!$B$72, IF(J31=[13]Legend!$A$73, [13]Legend!$B$73, (IF(J31=[13]Legend!$A$74, [13]Legend!$B$74, IF(J31=[13]Legend!$A$75, [13]Legend!$B$75, "")))))))))))</f>
        <v>120</v>
      </c>
      <c r="L31" s="5">
        <v>120</v>
      </c>
      <c r="M31" s="5">
        <v>1</v>
      </c>
      <c r="N31" s="5" t="s">
        <v>30</v>
      </c>
      <c r="O31" s="5"/>
    </row>
    <row r="32" spans="1:15" ht="14" customHeight="1" x14ac:dyDescent="0.45">
      <c r="A32" s="7">
        <v>45588</v>
      </c>
      <c r="B32" s="5" t="s">
        <v>136</v>
      </c>
      <c r="C32" s="5" t="s">
        <v>16</v>
      </c>
      <c r="D32" s="5">
        <v>3</v>
      </c>
      <c r="E32" s="5">
        <v>2</v>
      </c>
      <c r="F32" s="5">
        <v>2</v>
      </c>
      <c r="G32" s="7">
        <v>45740</v>
      </c>
      <c r="H32" s="5" t="s">
        <v>91</v>
      </c>
      <c r="I32" s="5">
        <v>1</v>
      </c>
      <c r="J32" s="5" t="s">
        <v>60</v>
      </c>
      <c r="K32" s="6">
        <f>IF(J32=[11]Legend!$A$67,[11]Legend!$B$67,(IF(J32=[11]Legend!$A$68,[11]Legend!$B$68,IF(J32=[11]Legend!$A$69, [11]Legend!$B$69, IF(J32=[11]Legend!$A$70, [11]Legend!$B$70, IF(J32=[11]Legend!$A$71, [11]Legend!$B$71, IF(J32=[11]Legend!$A$72, [11]Legend!$B$72, IF(J32=[11]Legend!$A$73, [11]Legend!$B$73, (IF(J32=[11]Legend!$A$74, [11]Legend!$B$74, IF(J32=[11]Legend!$A$75, [11]Legend!$B$75, "")))))))))))</f>
        <v>25</v>
      </c>
      <c r="L32" s="5">
        <v>25</v>
      </c>
      <c r="M32" s="5">
        <v>1</v>
      </c>
      <c r="N32" s="5" t="s">
        <v>21</v>
      </c>
      <c r="O32" s="5"/>
    </row>
    <row r="33" spans="1:15" ht="14" customHeight="1" x14ac:dyDescent="0.45">
      <c r="A33" s="7">
        <v>45588</v>
      </c>
      <c r="B33" s="5" t="s">
        <v>136</v>
      </c>
      <c r="C33" s="5" t="s">
        <v>16</v>
      </c>
      <c r="D33" s="5">
        <v>3</v>
      </c>
      <c r="E33" s="5">
        <v>2</v>
      </c>
      <c r="F33" s="5">
        <v>2</v>
      </c>
      <c r="G33" s="7">
        <v>45740</v>
      </c>
      <c r="H33" s="5" t="s">
        <v>91</v>
      </c>
      <c r="I33" s="5">
        <v>1</v>
      </c>
      <c r="J33" s="5" t="s">
        <v>18</v>
      </c>
      <c r="K33" s="6">
        <f>IF(J33=[11]Legend!$A$67,[11]Legend!$B$67,(IF(J33=[11]Legend!$A$68,[11]Legend!$B$68,IF(J33=[11]Legend!$A$69, [11]Legend!$B$69, IF(J33=[11]Legend!$A$70, [11]Legend!$B$70, IF(J33=[11]Legend!$A$71, [11]Legend!$B$71, IF(J33=[11]Legend!$A$72, [11]Legend!$B$72, IF(J33=[11]Legend!$A$73, [11]Legend!$B$73, (IF(J33=[11]Legend!$A$74, [11]Legend!$B$74, IF(J33=[11]Legend!$A$75, [11]Legend!$B$75, "")))))))))))</f>
        <v>5</v>
      </c>
      <c r="L33" s="5">
        <v>5</v>
      </c>
      <c r="M33" s="5">
        <v>0</v>
      </c>
      <c r="N33" s="5"/>
      <c r="O33" s="5"/>
    </row>
    <row r="34" spans="1:15" ht="14" customHeight="1" x14ac:dyDescent="0.45">
      <c r="A34" s="7">
        <v>45588</v>
      </c>
      <c r="B34" s="5" t="s">
        <v>136</v>
      </c>
      <c r="C34" s="5" t="s">
        <v>16</v>
      </c>
      <c r="D34" s="5">
        <v>3</v>
      </c>
      <c r="E34" s="5">
        <v>2</v>
      </c>
      <c r="F34" s="5">
        <v>2</v>
      </c>
      <c r="G34" s="7">
        <v>45740</v>
      </c>
      <c r="H34" s="5" t="s">
        <v>91</v>
      </c>
      <c r="I34" s="5">
        <v>1</v>
      </c>
      <c r="J34" s="5" t="s">
        <v>69</v>
      </c>
      <c r="K34" s="6">
        <f>IF(J34=[11]Legend!$A$67,[11]Legend!$B$67,(IF(J34=[11]Legend!$A$68,[11]Legend!$B$68,IF(J34=[11]Legend!$A$69, [11]Legend!$B$69, IF(J34=[11]Legend!$A$70, [11]Legend!$B$70, IF(J34=[11]Legend!$A$71, [11]Legend!$B$71, IF(J34=[11]Legend!$A$72, [11]Legend!$B$72, IF(J34=[11]Legend!$A$73, [11]Legend!$B$73, (IF(J34=[11]Legend!$A$74, [11]Legend!$B$74, IF(J34=[11]Legend!$A$75, [11]Legend!$B$75, "")))))))))))</f>
        <v>120</v>
      </c>
      <c r="L34" s="5">
        <v>120</v>
      </c>
      <c r="M34" s="5">
        <v>0</v>
      </c>
      <c r="N34" s="5"/>
      <c r="O34" s="5"/>
    </row>
    <row r="35" spans="1:15" ht="14" customHeight="1" x14ac:dyDescent="0.45">
      <c r="A35" s="7">
        <v>45588</v>
      </c>
      <c r="B35" s="5" t="s">
        <v>136</v>
      </c>
      <c r="C35" s="5" t="s">
        <v>16</v>
      </c>
      <c r="D35" s="5">
        <v>3</v>
      </c>
      <c r="E35" s="5">
        <v>2</v>
      </c>
      <c r="F35" s="5">
        <v>1</v>
      </c>
      <c r="G35" s="7">
        <v>45741</v>
      </c>
      <c r="H35" s="5" t="s">
        <v>91</v>
      </c>
      <c r="I35" s="5">
        <v>1</v>
      </c>
      <c r="J35" s="5" t="s">
        <v>60</v>
      </c>
      <c r="K35" s="6">
        <f>IF(J35=[11]Legend!$A$67,[11]Legend!$B$67,(IF(J35=[11]Legend!$A$68,[11]Legend!$B$68,IF(J35=[11]Legend!$A$69, [11]Legend!$B$69, IF(J35=[11]Legend!$A$70, [11]Legend!$B$70, IF(J35=[11]Legend!$A$71, [11]Legend!$B$71, IF(J35=[11]Legend!$A$72, [11]Legend!$B$72, IF(J35=[11]Legend!$A$73, [11]Legend!$B$73, (IF(J35=[11]Legend!$A$74, [11]Legend!$B$74, IF(J35=[11]Legend!$A$75, [11]Legend!$B$75, "")))))))))))</f>
        <v>25</v>
      </c>
      <c r="L35" s="5">
        <v>25</v>
      </c>
      <c r="M35" s="5">
        <v>0</v>
      </c>
      <c r="N35" s="5"/>
      <c r="O35" s="5"/>
    </row>
    <row r="36" spans="1:15" ht="14" customHeight="1" x14ac:dyDescent="0.45">
      <c r="A36" s="7">
        <v>45588</v>
      </c>
      <c r="B36" s="5" t="s">
        <v>136</v>
      </c>
      <c r="C36" s="5" t="s">
        <v>16</v>
      </c>
      <c r="D36" s="5">
        <v>3</v>
      </c>
      <c r="E36" s="5">
        <v>2</v>
      </c>
      <c r="F36" s="5">
        <v>1</v>
      </c>
      <c r="G36" s="7">
        <v>45741</v>
      </c>
      <c r="H36" s="5" t="s">
        <v>91</v>
      </c>
      <c r="I36" s="5">
        <v>1</v>
      </c>
      <c r="J36" s="5" t="s">
        <v>18</v>
      </c>
      <c r="K36" s="6">
        <f>IF(J36=[11]Legend!$A$67,[11]Legend!$B$67,(IF(J36=[11]Legend!$A$68,[11]Legend!$B$68,IF(J36=[11]Legend!$A$69, [11]Legend!$B$69, IF(J36=[11]Legend!$A$70, [11]Legend!$B$70, IF(J36=[11]Legend!$A$71, [11]Legend!$B$71, IF(J36=[11]Legend!$A$72, [11]Legend!$B$72, IF(J36=[11]Legend!$A$73, [11]Legend!$B$73, (IF(J36=[11]Legend!$A$74, [11]Legend!$B$74, IF(J36=[11]Legend!$A$75, [11]Legend!$B$75, "")))))))))))</f>
        <v>5</v>
      </c>
      <c r="L36" s="5">
        <v>5</v>
      </c>
      <c r="M36" s="5">
        <v>0</v>
      </c>
      <c r="N36" s="5"/>
      <c r="O36" s="5"/>
    </row>
    <row r="37" spans="1:15" ht="14" customHeight="1" x14ac:dyDescent="0.45">
      <c r="A37" s="7">
        <v>45588</v>
      </c>
      <c r="B37" s="5" t="s">
        <v>136</v>
      </c>
      <c r="C37" s="5" t="s">
        <v>16</v>
      </c>
      <c r="D37" s="5">
        <v>3</v>
      </c>
      <c r="E37" s="5">
        <v>2</v>
      </c>
      <c r="F37" s="5">
        <v>1</v>
      </c>
      <c r="G37" s="7">
        <v>45741</v>
      </c>
      <c r="H37" s="5" t="s">
        <v>91</v>
      </c>
      <c r="I37" s="5">
        <v>1</v>
      </c>
      <c r="J37" s="5" t="s">
        <v>69</v>
      </c>
      <c r="K37" s="6">
        <f>IF(J37=[11]Legend!$A$67,[11]Legend!$B$67,(IF(J37=[11]Legend!$A$68,[11]Legend!$B$68,IF(J37=[11]Legend!$A$69, [11]Legend!$B$69, IF(J37=[11]Legend!$A$70, [11]Legend!$B$70, IF(J37=[11]Legend!$A$71, [11]Legend!$B$71, IF(J37=[11]Legend!$A$72, [11]Legend!$B$72, IF(J37=[11]Legend!$A$73, [11]Legend!$B$73, (IF(J37=[11]Legend!$A$74, [11]Legend!$B$74, IF(J37=[11]Legend!$A$75, [11]Legend!$B$75, "")))))))))))</f>
        <v>120</v>
      </c>
      <c r="L37" s="5">
        <v>120</v>
      </c>
      <c r="M37" s="5">
        <v>0</v>
      </c>
      <c r="N37" s="5"/>
      <c r="O37" s="5"/>
    </row>
    <row r="38" spans="1:15" ht="14" customHeight="1" x14ac:dyDescent="0.45">
      <c r="A38" s="7">
        <v>45581</v>
      </c>
      <c r="B38" s="5" t="s">
        <v>136</v>
      </c>
      <c r="C38" s="5" t="s">
        <v>90</v>
      </c>
      <c r="D38" s="20">
        <v>2</v>
      </c>
      <c r="E38" s="5">
        <v>3</v>
      </c>
      <c r="F38" s="5">
        <v>1</v>
      </c>
      <c r="G38" s="7">
        <v>45775</v>
      </c>
      <c r="H38" s="5" t="s">
        <v>91</v>
      </c>
      <c r="I38" s="5">
        <v>1</v>
      </c>
      <c r="J38" s="5" t="s">
        <v>60</v>
      </c>
      <c r="K38" s="6">
        <f>IF(J38=[13]Legend!$A$67,[13]Legend!$B$67,(IF(J38=[13]Legend!$A$68,[13]Legend!$B$68,IF(J38=[13]Legend!$A$69, [13]Legend!$B$69, IF(J38=[13]Legend!$A$70, [13]Legend!$B$70, IF(J38=[13]Legend!$A$71, [13]Legend!$B$71, IF(J38=[13]Legend!$A$72, [13]Legend!$B$72, IF(J38=[13]Legend!$A$73, [13]Legend!$B$73, (IF(J38=[13]Legend!$A$74, [13]Legend!$B$74, IF(J38=[13]Legend!$A$75, [13]Legend!$B$75, "")))))))))))</f>
        <v>25</v>
      </c>
      <c r="L38" s="5">
        <v>25</v>
      </c>
      <c r="M38" s="5">
        <v>2</v>
      </c>
      <c r="N38" s="5" t="s">
        <v>23</v>
      </c>
      <c r="O38" s="5"/>
    </row>
    <row r="39" spans="1:15" ht="14" customHeight="1" x14ac:dyDescent="0.45">
      <c r="A39" s="7">
        <v>45581</v>
      </c>
      <c r="B39" s="5" t="s">
        <v>136</v>
      </c>
      <c r="C39" s="5" t="s">
        <v>90</v>
      </c>
      <c r="D39" s="20">
        <v>2</v>
      </c>
      <c r="E39" s="5">
        <v>3</v>
      </c>
      <c r="F39" s="5">
        <v>1</v>
      </c>
      <c r="G39" s="7">
        <v>45775</v>
      </c>
      <c r="H39" s="5" t="s">
        <v>91</v>
      </c>
      <c r="I39" s="5">
        <v>1</v>
      </c>
      <c r="J39" s="5" t="s">
        <v>18</v>
      </c>
      <c r="K39" s="6">
        <f>IF(J39=[13]Legend!$A$67,[13]Legend!$B$67,(IF(J39=[13]Legend!$A$68,[13]Legend!$B$68,IF(J39=[13]Legend!$A$69, [13]Legend!$B$69, IF(J39=[13]Legend!$A$70, [13]Legend!$B$70, IF(J39=[13]Legend!$A$71, [13]Legend!$B$71, IF(J39=[13]Legend!$A$72, [13]Legend!$B$72, IF(J39=[13]Legend!$A$73, [13]Legend!$B$73, (IF(J39=[13]Legend!$A$74, [13]Legend!$B$74, IF(J39=[13]Legend!$A$75, [13]Legend!$B$75, "")))))))))))</f>
        <v>5</v>
      </c>
      <c r="L39" s="5">
        <v>5</v>
      </c>
      <c r="M39" s="5">
        <v>0</v>
      </c>
      <c r="N39" s="5"/>
      <c r="O39" s="5"/>
    </row>
    <row r="40" spans="1:15" ht="14" customHeight="1" x14ac:dyDescent="0.45">
      <c r="A40" s="7">
        <v>45581</v>
      </c>
      <c r="B40" s="5" t="s">
        <v>136</v>
      </c>
      <c r="C40" s="5" t="s">
        <v>90</v>
      </c>
      <c r="D40" s="20">
        <v>2</v>
      </c>
      <c r="E40" s="5">
        <v>3</v>
      </c>
      <c r="F40" s="5">
        <v>1</v>
      </c>
      <c r="G40" s="7">
        <v>45775</v>
      </c>
      <c r="H40" s="5" t="s">
        <v>91</v>
      </c>
      <c r="I40" s="5">
        <v>1</v>
      </c>
      <c r="J40" s="5" t="s">
        <v>69</v>
      </c>
      <c r="K40" s="6">
        <f>IF(J40=[13]Legend!$A$67,[13]Legend!$B$67,(IF(J40=[13]Legend!$A$68,[13]Legend!$B$68,IF(J40=[13]Legend!$A$69, [13]Legend!$B$69, IF(J40=[13]Legend!$A$70, [13]Legend!$B$70, IF(J40=[13]Legend!$A$71, [13]Legend!$B$71, IF(J40=[13]Legend!$A$72, [13]Legend!$B$72, IF(J40=[13]Legend!$A$73, [13]Legend!$B$73, (IF(J40=[13]Legend!$A$74, [13]Legend!$B$74, IF(J40=[13]Legend!$A$75, [13]Legend!$B$75, "")))))))))))</f>
        <v>120</v>
      </c>
      <c r="L40" s="5">
        <v>120</v>
      </c>
      <c r="M40" s="5">
        <v>0</v>
      </c>
      <c r="N40" s="5"/>
      <c r="O40" s="5"/>
    </row>
    <row r="41" spans="1:15" ht="14" customHeight="1" x14ac:dyDescent="0.45">
      <c r="A41" s="7">
        <v>45574</v>
      </c>
      <c r="B41" s="5" t="s">
        <v>136</v>
      </c>
      <c r="C41" s="5" t="s">
        <v>90</v>
      </c>
      <c r="D41" s="5">
        <v>1</v>
      </c>
      <c r="E41" s="5">
        <v>3</v>
      </c>
      <c r="F41" s="5">
        <v>2</v>
      </c>
      <c r="G41" s="7">
        <v>45775</v>
      </c>
      <c r="H41" s="5" t="s">
        <v>91</v>
      </c>
      <c r="I41" s="5">
        <v>1</v>
      </c>
      <c r="J41" s="5" t="s">
        <v>60</v>
      </c>
      <c r="K41" s="6">
        <f>IF(J41=[13]Legend!$A$67,[13]Legend!$B$67,(IF(J41=[13]Legend!$A$68,[13]Legend!$B$68,IF(J41=[13]Legend!$A$69, [13]Legend!$B$69, IF(J41=[13]Legend!$A$70, [13]Legend!$B$70, IF(J41=[13]Legend!$A$71, [13]Legend!$B$71, IF(J41=[13]Legend!$A$72, [13]Legend!$B$72, IF(J41=[13]Legend!$A$73, [13]Legend!$B$73, (IF(J41=[13]Legend!$A$74, [13]Legend!$B$74, IF(J41=[13]Legend!$A$75, [13]Legend!$B$75, "")))))))))))</f>
        <v>25</v>
      </c>
      <c r="L41" s="5">
        <v>24</v>
      </c>
      <c r="M41" s="5">
        <v>1</v>
      </c>
      <c r="N41" s="5" t="s">
        <v>30</v>
      </c>
      <c r="O41" s="5"/>
    </row>
    <row r="42" spans="1:15" ht="14" customHeight="1" x14ac:dyDescent="0.45">
      <c r="A42" s="7">
        <v>45574</v>
      </c>
      <c r="B42" s="5" t="s">
        <v>136</v>
      </c>
      <c r="C42" s="5" t="s">
        <v>90</v>
      </c>
      <c r="D42" s="5">
        <v>1</v>
      </c>
      <c r="E42" s="5">
        <v>3</v>
      </c>
      <c r="F42" s="5">
        <v>2</v>
      </c>
      <c r="G42" s="7">
        <v>45775</v>
      </c>
      <c r="H42" s="5" t="s">
        <v>91</v>
      </c>
      <c r="I42" s="5">
        <v>1</v>
      </c>
      <c r="J42" s="5" t="s">
        <v>18</v>
      </c>
      <c r="K42" s="6">
        <f>IF(J42=[13]Legend!$A$67,[13]Legend!$B$67,(IF(J42=[13]Legend!$A$68,[13]Legend!$B$68,IF(J42=[13]Legend!$A$69, [13]Legend!$B$69, IF(J42=[13]Legend!$A$70, [13]Legend!$B$70, IF(J42=[13]Legend!$A$71, [13]Legend!$B$71, IF(J42=[13]Legend!$A$72, [13]Legend!$B$72, IF(J42=[13]Legend!$A$73, [13]Legend!$B$73, (IF(J42=[13]Legend!$A$74, [13]Legend!$B$74, IF(J42=[13]Legend!$A$75, [13]Legend!$B$75, "")))))))))))</f>
        <v>5</v>
      </c>
      <c r="L42" s="5">
        <v>5</v>
      </c>
      <c r="M42" s="5">
        <v>0</v>
      </c>
      <c r="N42" s="5"/>
      <c r="O42" s="5"/>
    </row>
    <row r="43" spans="1:15" ht="14" customHeight="1" x14ac:dyDescent="0.45">
      <c r="A43" s="7">
        <v>45574</v>
      </c>
      <c r="B43" s="5" t="s">
        <v>136</v>
      </c>
      <c r="C43" s="5" t="s">
        <v>90</v>
      </c>
      <c r="D43" s="5">
        <v>1</v>
      </c>
      <c r="E43" s="5">
        <v>3</v>
      </c>
      <c r="F43" s="5">
        <v>2</v>
      </c>
      <c r="G43" s="7">
        <v>45775</v>
      </c>
      <c r="H43" s="5" t="s">
        <v>91</v>
      </c>
      <c r="I43" s="5">
        <v>1</v>
      </c>
      <c r="J43" s="5" t="s">
        <v>69</v>
      </c>
      <c r="K43" s="6">
        <f>IF(J43=[13]Legend!$A$67,[13]Legend!$B$67,(IF(J43=[13]Legend!$A$68,[13]Legend!$B$68,IF(J43=[13]Legend!$A$69, [13]Legend!$B$69, IF(J43=[13]Legend!$A$70, [13]Legend!$B$70, IF(J43=[13]Legend!$A$71, [13]Legend!$B$71, IF(J43=[13]Legend!$A$72, [13]Legend!$B$72, IF(J43=[13]Legend!$A$73, [13]Legend!$B$73, (IF(J43=[13]Legend!$A$74, [13]Legend!$B$74, IF(J43=[13]Legend!$A$75, [13]Legend!$B$75, "")))))))))))</f>
        <v>120</v>
      </c>
      <c r="L43" s="5">
        <v>120</v>
      </c>
      <c r="M43" s="5">
        <v>1</v>
      </c>
      <c r="N43" s="5" t="s">
        <v>30</v>
      </c>
      <c r="O43" s="5"/>
    </row>
    <row r="44" spans="1:15" ht="14" customHeight="1" x14ac:dyDescent="0.45">
      <c r="A44" s="7">
        <v>45581</v>
      </c>
      <c r="B44" s="5" t="s">
        <v>136</v>
      </c>
      <c r="C44" s="5" t="s">
        <v>124</v>
      </c>
      <c r="D44" s="5">
        <v>2</v>
      </c>
      <c r="E44" s="5">
        <v>3</v>
      </c>
      <c r="F44" s="5">
        <v>2</v>
      </c>
      <c r="G44" s="7">
        <v>45776</v>
      </c>
      <c r="H44" s="5" t="s">
        <v>91</v>
      </c>
      <c r="I44" s="5">
        <v>1</v>
      </c>
      <c r="J44" s="5" t="s">
        <v>60</v>
      </c>
      <c r="K44" s="6">
        <f>IF(J44=[13]Legend!$A$67,[13]Legend!$B$67,(IF(J44=[13]Legend!$A$68,[13]Legend!$B$68,IF(J44=[13]Legend!$A$69, [13]Legend!$B$69, IF(J44=[13]Legend!$A$70, [13]Legend!$B$70, IF(J44=[13]Legend!$A$71, [13]Legend!$B$71, IF(J44=[13]Legend!$A$72, [13]Legend!$B$72, IF(J44=[13]Legend!$A$73, [13]Legend!$B$73, (IF(J44=[13]Legend!$A$74, [13]Legend!$B$74, IF(J44=[13]Legend!$A$75, [13]Legend!$B$75, "")))))))))))</f>
        <v>25</v>
      </c>
      <c r="L44" s="5">
        <v>25</v>
      </c>
      <c r="M44" s="5">
        <v>4</v>
      </c>
      <c r="N44" s="5" t="s">
        <v>30</v>
      </c>
      <c r="O44" s="5"/>
    </row>
    <row r="45" spans="1:15" ht="14" customHeight="1" x14ac:dyDescent="0.45">
      <c r="A45" s="7">
        <v>45581</v>
      </c>
      <c r="B45" s="5" t="s">
        <v>136</v>
      </c>
      <c r="C45" s="5" t="s">
        <v>124</v>
      </c>
      <c r="D45" s="5">
        <v>2</v>
      </c>
      <c r="E45" s="5">
        <v>3</v>
      </c>
      <c r="F45" s="5">
        <v>2</v>
      </c>
      <c r="G45" s="7">
        <v>45776</v>
      </c>
      <c r="H45" s="5" t="s">
        <v>91</v>
      </c>
      <c r="I45" s="5">
        <v>1</v>
      </c>
      <c r="J45" s="5" t="s">
        <v>18</v>
      </c>
      <c r="K45" s="6">
        <f>IF(J45=[13]Legend!$A$67,[13]Legend!$B$67,(IF(J45=[13]Legend!$A$68,[13]Legend!$B$68,IF(J45=[13]Legend!$A$69, [13]Legend!$B$69, IF(J45=[13]Legend!$A$70, [13]Legend!$B$70, IF(J45=[13]Legend!$A$71, [13]Legend!$B$71, IF(J45=[13]Legend!$A$72, [13]Legend!$B$72, IF(J45=[13]Legend!$A$73, [13]Legend!$B$73, (IF(J45=[13]Legend!$A$74, [13]Legend!$B$74, IF(J45=[13]Legend!$A$75, [13]Legend!$B$75, "")))))))))))</f>
        <v>5</v>
      </c>
      <c r="L45" s="5">
        <v>5</v>
      </c>
      <c r="M45" s="5">
        <v>0</v>
      </c>
      <c r="N45" s="5"/>
      <c r="O45" s="5"/>
    </row>
    <row r="46" spans="1:15" ht="14" customHeight="1" x14ac:dyDescent="0.45">
      <c r="A46" s="7">
        <v>45581</v>
      </c>
      <c r="B46" s="5" t="s">
        <v>136</v>
      </c>
      <c r="C46" s="5" t="s">
        <v>124</v>
      </c>
      <c r="D46" s="5">
        <v>2</v>
      </c>
      <c r="E46" s="5">
        <v>3</v>
      </c>
      <c r="F46" s="5">
        <v>2</v>
      </c>
      <c r="G46" s="7">
        <v>45776</v>
      </c>
      <c r="H46" s="5" t="s">
        <v>91</v>
      </c>
      <c r="I46" s="5">
        <v>1</v>
      </c>
      <c r="J46" s="5" t="s">
        <v>69</v>
      </c>
      <c r="K46" s="6">
        <f>IF(J46=[13]Legend!$A$67,[13]Legend!$B$67,(IF(J46=[13]Legend!$A$68,[13]Legend!$B$68,IF(J46=[13]Legend!$A$69, [13]Legend!$B$69, IF(J46=[13]Legend!$A$70, [13]Legend!$B$70, IF(J46=[13]Legend!$A$71, [13]Legend!$B$71, IF(J46=[13]Legend!$A$72, [13]Legend!$B$72, IF(J46=[13]Legend!$A$73, [13]Legend!$B$73, (IF(J46=[13]Legend!$A$74, [13]Legend!$B$74, IF(J46=[13]Legend!$A$75, [13]Legend!$B$75, "")))))))))))</f>
        <v>120</v>
      </c>
      <c r="L46" s="5">
        <v>118</v>
      </c>
      <c r="M46" s="5">
        <v>1</v>
      </c>
      <c r="N46" s="5" t="s">
        <v>21</v>
      </c>
      <c r="O46" s="5"/>
    </row>
    <row r="47" spans="1:15" ht="14" customHeight="1" x14ac:dyDescent="0.45">
      <c r="A47" s="7">
        <v>45574</v>
      </c>
      <c r="B47" s="5" t="s">
        <v>136</v>
      </c>
      <c r="C47" s="5" t="s">
        <v>90</v>
      </c>
      <c r="D47" s="20">
        <v>1</v>
      </c>
      <c r="E47" s="5">
        <v>3</v>
      </c>
      <c r="F47" s="5">
        <v>1</v>
      </c>
      <c r="G47" s="7">
        <v>45782</v>
      </c>
      <c r="H47" s="5" t="s">
        <v>91</v>
      </c>
      <c r="I47" s="5">
        <v>1</v>
      </c>
      <c r="J47" s="5" t="s">
        <v>60</v>
      </c>
      <c r="K47" s="6">
        <f>IF(J47=[13]Legend!$A$67,[13]Legend!$B$67,(IF(J47=[13]Legend!$A$68,[13]Legend!$B$68,IF(J47=[13]Legend!$A$69, [13]Legend!$B$69, IF(J47=[13]Legend!$A$70, [13]Legend!$B$70, IF(J47=[13]Legend!$A$71, [13]Legend!$B$71, IF(J47=[13]Legend!$A$72, [13]Legend!$B$72, IF(J47=[13]Legend!$A$73, [13]Legend!$B$73, (IF(J47=[13]Legend!$A$74, [13]Legend!$B$74, IF(J47=[13]Legend!$A$75, [13]Legend!$B$75, "")))))))))))</f>
        <v>25</v>
      </c>
      <c r="L47" s="5">
        <v>25</v>
      </c>
      <c r="M47" s="5">
        <v>0</v>
      </c>
      <c r="N47" s="5"/>
      <c r="O47" s="5"/>
    </row>
    <row r="48" spans="1:15" ht="14" customHeight="1" x14ac:dyDescent="0.45">
      <c r="A48" s="7">
        <v>45574</v>
      </c>
      <c r="B48" s="5" t="s">
        <v>136</v>
      </c>
      <c r="C48" s="5" t="s">
        <v>90</v>
      </c>
      <c r="D48" s="20">
        <v>1</v>
      </c>
      <c r="E48" s="5">
        <v>3</v>
      </c>
      <c r="F48" s="5">
        <v>1</v>
      </c>
      <c r="G48" s="7">
        <v>45782</v>
      </c>
      <c r="H48" s="5" t="s">
        <v>91</v>
      </c>
      <c r="I48" s="5">
        <v>1</v>
      </c>
      <c r="J48" s="5" t="s">
        <v>18</v>
      </c>
      <c r="K48" s="6">
        <f>IF(J48=[13]Legend!$A$67,[13]Legend!$B$67,(IF(J48=[13]Legend!$A$68,[13]Legend!$B$68,IF(J48=[13]Legend!$A$69, [13]Legend!$B$69, IF(J48=[13]Legend!$A$70, [13]Legend!$B$70, IF(J48=[13]Legend!$A$71, [13]Legend!$B$71, IF(J48=[13]Legend!$A$72, [13]Legend!$B$72, IF(J48=[13]Legend!$A$73, [13]Legend!$B$73, (IF(J48=[13]Legend!$A$74, [13]Legend!$B$74, IF(J48=[13]Legend!$A$75, [13]Legend!$B$75, "")))))))))))</f>
        <v>5</v>
      </c>
      <c r="L48" s="5">
        <v>5</v>
      </c>
      <c r="M48" s="5">
        <v>0</v>
      </c>
      <c r="N48" s="5"/>
      <c r="O48" s="5"/>
    </row>
    <row r="49" spans="1:15" ht="14" customHeight="1" x14ac:dyDescent="0.45">
      <c r="A49" s="7">
        <v>45574</v>
      </c>
      <c r="B49" s="5" t="s">
        <v>136</v>
      </c>
      <c r="C49" s="5" t="s">
        <v>90</v>
      </c>
      <c r="D49" s="20">
        <v>1</v>
      </c>
      <c r="E49" s="5">
        <v>3</v>
      </c>
      <c r="F49" s="5">
        <v>1</v>
      </c>
      <c r="G49" s="7">
        <v>45782</v>
      </c>
      <c r="H49" s="5" t="s">
        <v>91</v>
      </c>
      <c r="I49" s="5">
        <v>1</v>
      </c>
      <c r="J49" s="5" t="s">
        <v>69</v>
      </c>
      <c r="K49" s="6">
        <f>IF(J49=[13]Legend!$A$67,[13]Legend!$B$67,(IF(J49=[13]Legend!$A$68,[13]Legend!$B$68,IF(J49=[13]Legend!$A$69, [13]Legend!$B$69, IF(J49=[13]Legend!$A$70, [13]Legend!$B$70, IF(J49=[13]Legend!$A$71, [13]Legend!$B$71, IF(J49=[13]Legend!$A$72, [13]Legend!$B$72, IF(J49=[13]Legend!$A$73, [13]Legend!$B$73, (IF(J49=[13]Legend!$A$74, [13]Legend!$B$74, IF(J49=[13]Legend!$A$75, [13]Legend!$B$75, "")))))))))))</f>
        <v>120</v>
      </c>
      <c r="L49" s="5">
        <v>121</v>
      </c>
      <c r="M49" s="5">
        <v>0</v>
      </c>
      <c r="N49" s="5"/>
      <c r="O49" s="5"/>
    </row>
    <row r="50" spans="1:15" ht="14" customHeight="1" x14ac:dyDescent="0.45">
      <c r="A50" s="7">
        <v>45588</v>
      </c>
      <c r="B50" s="5" t="s">
        <v>136</v>
      </c>
      <c r="C50" s="5" t="s">
        <v>16</v>
      </c>
      <c r="D50" s="5">
        <v>3</v>
      </c>
      <c r="E50" s="5">
        <v>3</v>
      </c>
      <c r="F50" s="5">
        <v>1</v>
      </c>
      <c r="G50" s="7">
        <v>45741</v>
      </c>
      <c r="H50" s="5" t="s">
        <v>91</v>
      </c>
      <c r="I50" s="5">
        <v>1</v>
      </c>
      <c r="J50" s="5" t="s">
        <v>60</v>
      </c>
      <c r="K50" s="6">
        <f>IF(J50=[11]Legend!$A$67,[11]Legend!$B$67,(IF(J50=[11]Legend!$A$68,[11]Legend!$B$68,IF(J50=[11]Legend!$A$69, [11]Legend!$B$69, IF(J50=[11]Legend!$A$70, [11]Legend!$B$70, IF(J50=[11]Legend!$A$71, [11]Legend!$B$71, IF(J50=[11]Legend!$A$72, [11]Legend!$B$72, IF(J50=[11]Legend!$A$73, [11]Legend!$B$73, (IF(J50=[11]Legend!$A$74, [11]Legend!$B$74, IF(J50=[11]Legend!$A$75, [11]Legend!$B$75, "")))))))))))</f>
        <v>25</v>
      </c>
      <c r="L50" s="5">
        <v>24</v>
      </c>
      <c r="M50" s="5">
        <v>1</v>
      </c>
      <c r="N50" s="5" t="s">
        <v>21</v>
      </c>
      <c r="O50" s="5" t="s">
        <v>147</v>
      </c>
    </row>
    <row r="51" spans="1:15" ht="14" customHeight="1" x14ac:dyDescent="0.45">
      <c r="A51" s="7">
        <v>45588</v>
      </c>
      <c r="B51" s="5" t="s">
        <v>136</v>
      </c>
      <c r="C51" s="5" t="s">
        <v>16</v>
      </c>
      <c r="D51" s="5">
        <v>3</v>
      </c>
      <c r="E51" s="5">
        <v>3</v>
      </c>
      <c r="F51" s="5">
        <v>1</v>
      </c>
      <c r="G51" s="7">
        <v>45741</v>
      </c>
      <c r="H51" s="5" t="s">
        <v>91</v>
      </c>
      <c r="I51" s="5">
        <v>1</v>
      </c>
      <c r="J51" s="5" t="s">
        <v>18</v>
      </c>
      <c r="K51" s="6">
        <f>IF(J51=[11]Legend!$A$67,[11]Legend!$B$67,(IF(J51=[11]Legend!$A$68,[11]Legend!$B$68,IF(J51=[11]Legend!$A$69, [11]Legend!$B$69, IF(J51=[11]Legend!$A$70, [11]Legend!$B$70, IF(J51=[11]Legend!$A$71, [11]Legend!$B$71, IF(J51=[11]Legend!$A$72, [11]Legend!$B$72, IF(J51=[11]Legend!$A$73, [11]Legend!$B$73, (IF(J51=[11]Legend!$A$74, [11]Legend!$B$74, IF(J51=[11]Legend!$A$75, [11]Legend!$B$75, "")))))))))))</f>
        <v>5</v>
      </c>
      <c r="L51" s="5">
        <v>0</v>
      </c>
      <c r="M51" s="5">
        <v>0</v>
      </c>
      <c r="N51" s="5"/>
      <c r="O51" s="5"/>
    </row>
    <row r="52" spans="1:15" ht="14" customHeight="1" x14ac:dyDescent="0.45">
      <c r="A52" s="7">
        <v>45588</v>
      </c>
      <c r="B52" s="5" t="s">
        <v>136</v>
      </c>
      <c r="C52" s="5" t="s">
        <v>16</v>
      </c>
      <c r="D52" s="5">
        <v>3</v>
      </c>
      <c r="E52" s="5">
        <v>3</v>
      </c>
      <c r="F52" s="5">
        <v>1</v>
      </c>
      <c r="G52" s="7">
        <v>45741</v>
      </c>
      <c r="H52" s="5" t="s">
        <v>91</v>
      </c>
      <c r="I52" s="5">
        <v>1</v>
      </c>
      <c r="J52" s="5" t="s">
        <v>69</v>
      </c>
      <c r="K52" s="6">
        <f>IF(J52=[11]Legend!$A$67,[11]Legend!$B$67,(IF(J52=[11]Legend!$A$68,[11]Legend!$B$68,IF(J52=[11]Legend!$A$69, [11]Legend!$B$69, IF(J52=[11]Legend!$A$70, [11]Legend!$B$70, IF(J52=[11]Legend!$A$71, [11]Legend!$B$71, IF(J52=[11]Legend!$A$72, [11]Legend!$B$72, IF(J52=[11]Legend!$A$73, [11]Legend!$B$73, (IF(J52=[11]Legend!$A$74, [11]Legend!$B$74, IF(J52=[11]Legend!$A$75, [11]Legend!$B$75, "")))))))))))</f>
        <v>120</v>
      </c>
      <c r="L52" s="5">
        <v>3</v>
      </c>
      <c r="M52" s="5">
        <v>1</v>
      </c>
      <c r="N52" s="5" t="s">
        <v>21</v>
      </c>
      <c r="O52" s="5"/>
    </row>
    <row r="53" spans="1:15" ht="14" customHeight="1" x14ac:dyDescent="0.45">
      <c r="A53" s="7">
        <v>45588</v>
      </c>
      <c r="B53" s="5" t="s">
        <v>136</v>
      </c>
      <c r="C53" s="5" t="s">
        <v>16</v>
      </c>
      <c r="D53" s="5">
        <v>3</v>
      </c>
      <c r="E53" s="5">
        <v>3</v>
      </c>
      <c r="F53" s="5">
        <v>2</v>
      </c>
      <c r="G53" s="7">
        <v>45741</v>
      </c>
      <c r="H53" s="5" t="s">
        <v>91</v>
      </c>
      <c r="I53" s="5">
        <v>1</v>
      </c>
      <c r="J53" s="5" t="s">
        <v>60</v>
      </c>
      <c r="K53" s="6">
        <f>IF(J53=[11]Legend!$A$67,[11]Legend!$B$67,(IF(J53=[11]Legend!$A$68,[11]Legend!$B$68,IF(J53=[11]Legend!$A$69, [11]Legend!$B$69, IF(J53=[11]Legend!$A$70, [11]Legend!$B$70, IF(J53=[11]Legend!$A$71, [11]Legend!$B$71, IF(J53=[11]Legend!$A$72, [11]Legend!$B$72, IF(J53=[11]Legend!$A$73, [11]Legend!$B$73, (IF(J53=[11]Legend!$A$74, [11]Legend!$B$74, IF(J53=[11]Legend!$A$75, [11]Legend!$B$75, "")))))))))))</f>
        <v>25</v>
      </c>
      <c r="L53" s="5">
        <v>25</v>
      </c>
      <c r="M53" s="5">
        <v>1</v>
      </c>
      <c r="N53" s="5" t="s">
        <v>30</v>
      </c>
      <c r="O53" s="5"/>
    </row>
    <row r="54" spans="1:15" ht="14" customHeight="1" x14ac:dyDescent="0.45">
      <c r="A54" s="7">
        <v>45588</v>
      </c>
      <c r="B54" s="5" t="s">
        <v>136</v>
      </c>
      <c r="C54" s="5" t="s">
        <v>16</v>
      </c>
      <c r="D54" s="5">
        <v>3</v>
      </c>
      <c r="E54" s="5">
        <v>3</v>
      </c>
      <c r="F54" s="5">
        <v>2</v>
      </c>
      <c r="G54" s="7">
        <v>45741</v>
      </c>
      <c r="H54" s="5" t="s">
        <v>91</v>
      </c>
      <c r="I54" s="5">
        <v>1</v>
      </c>
      <c r="J54" s="5" t="s">
        <v>18</v>
      </c>
      <c r="K54" s="6">
        <f>IF(J54=[11]Legend!$A$67,[11]Legend!$B$67,(IF(J54=[11]Legend!$A$68,[11]Legend!$B$68,IF(J54=[11]Legend!$A$69, [11]Legend!$B$69, IF(J54=[11]Legend!$A$70, [11]Legend!$B$70, IF(J54=[11]Legend!$A$71, [11]Legend!$B$71, IF(J54=[11]Legend!$A$72, [11]Legend!$B$72, IF(J54=[11]Legend!$A$73, [11]Legend!$B$73, (IF(J54=[11]Legend!$A$74, [11]Legend!$B$74, IF(J54=[11]Legend!$A$75, [11]Legend!$B$75, "")))))))))))</f>
        <v>5</v>
      </c>
      <c r="L54" s="5">
        <v>5</v>
      </c>
      <c r="M54" s="5">
        <v>0</v>
      </c>
      <c r="N54" s="5"/>
      <c r="O54" s="5"/>
    </row>
    <row r="55" spans="1:15" ht="14" customHeight="1" x14ac:dyDescent="0.45">
      <c r="A55" s="7">
        <v>45588</v>
      </c>
      <c r="B55" s="5" t="s">
        <v>136</v>
      </c>
      <c r="C55" s="5" t="s">
        <v>16</v>
      </c>
      <c r="D55" s="5">
        <v>3</v>
      </c>
      <c r="E55" s="5">
        <v>3</v>
      </c>
      <c r="F55" s="5">
        <v>2</v>
      </c>
      <c r="G55" s="7">
        <v>45741</v>
      </c>
      <c r="H55" s="5" t="s">
        <v>91</v>
      </c>
      <c r="I55" s="5">
        <v>1</v>
      </c>
      <c r="J55" s="5" t="s">
        <v>69</v>
      </c>
      <c r="K55" s="6">
        <f>IF(J55=[11]Legend!$A$67,[11]Legend!$B$67,(IF(J55=[11]Legend!$A$68,[11]Legend!$B$68,IF(J55=[11]Legend!$A$69, [11]Legend!$B$69, IF(J55=[11]Legend!$A$70, [11]Legend!$B$70, IF(J55=[11]Legend!$A$71, [11]Legend!$B$71, IF(J55=[11]Legend!$A$72, [11]Legend!$B$72, IF(J55=[11]Legend!$A$73, [11]Legend!$B$73, (IF(J55=[11]Legend!$A$74, [11]Legend!$B$74, IF(J55=[11]Legend!$A$75, [11]Legend!$B$75, "")))))))))))</f>
        <v>120</v>
      </c>
      <c r="L55" s="5">
        <v>119</v>
      </c>
      <c r="M55" s="5">
        <v>0</v>
      </c>
      <c r="N55" s="5"/>
      <c r="O55" s="5"/>
    </row>
    <row r="56" spans="1:15" ht="14" customHeight="1" x14ac:dyDescent="0.45">
      <c r="A56" s="7">
        <v>45574</v>
      </c>
      <c r="B56" s="5" t="s">
        <v>136</v>
      </c>
      <c r="C56" s="5" t="s">
        <v>90</v>
      </c>
      <c r="D56" s="5">
        <v>1</v>
      </c>
      <c r="E56" s="5">
        <v>4</v>
      </c>
      <c r="F56" s="5">
        <v>2</v>
      </c>
      <c r="G56" s="7">
        <v>45769</v>
      </c>
      <c r="H56" s="5" t="s">
        <v>91</v>
      </c>
      <c r="I56" s="5">
        <v>1</v>
      </c>
      <c r="J56" s="5" t="s">
        <v>60</v>
      </c>
      <c r="K56" s="6">
        <f>IF(J56=[13]Legend!$A$67,[13]Legend!$B$67,(IF(J56=[13]Legend!$A$68,[13]Legend!$B$68,IF(J56=[13]Legend!$A$69, [13]Legend!$B$69, IF(J56=[13]Legend!$A$70, [13]Legend!$B$70, IF(J56=[13]Legend!$A$71, [13]Legend!$B$71, IF(J56=[13]Legend!$A$72, [13]Legend!$B$72, IF(J56=[13]Legend!$A$73, [13]Legend!$B$73, (IF(J56=[13]Legend!$A$74, [13]Legend!$B$74, IF(J56=[13]Legend!$A$75, [13]Legend!$B$75, "")))))))))))</f>
        <v>25</v>
      </c>
      <c r="L56" s="5">
        <v>25</v>
      </c>
      <c r="M56" s="5">
        <v>0</v>
      </c>
      <c r="N56" s="5"/>
      <c r="O56" s="5"/>
    </row>
    <row r="57" spans="1:15" ht="14" customHeight="1" x14ac:dyDescent="0.45">
      <c r="A57" s="7">
        <v>45574</v>
      </c>
      <c r="B57" s="5" t="s">
        <v>136</v>
      </c>
      <c r="C57" s="5" t="s">
        <v>90</v>
      </c>
      <c r="D57" s="5">
        <v>1</v>
      </c>
      <c r="E57" s="5">
        <v>4</v>
      </c>
      <c r="F57" s="5">
        <v>2</v>
      </c>
      <c r="G57" s="7">
        <v>45769</v>
      </c>
      <c r="H57" s="5" t="s">
        <v>91</v>
      </c>
      <c r="I57" s="5">
        <v>1</v>
      </c>
      <c r="J57" s="5" t="s">
        <v>18</v>
      </c>
      <c r="K57" s="6">
        <f>IF(J57=[13]Legend!$A$67,[13]Legend!$B$67,(IF(J57=[13]Legend!$A$68,[13]Legend!$B$68,IF(J57=[13]Legend!$A$69, [13]Legend!$B$69, IF(J57=[13]Legend!$A$70, [13]Legend!$B$70, IF(J57=[13]Legend!$A$71, [13]Legend!$B$71, IF(J57=[13]Legend!$A$72, [13]Legend!$B$72, IF(J57=[13]Legend!$A$73, [13]Legend!$B$73, (IF(J57=[13]Legend!$A$74, [13]Legend!$B$74, IF(J57=[13]Legend!$A$75, [13]Legend!$B$75, "")))))))))))</f>
        <v>5</v>
      </c>
      <c r="L57" s="5">
        <v>5</v>
      </c>
      <c r="M57" s="5">
        <v>0</v>
      </c>
      <c r="N57" s="5"/>
      <c r="O57" s="5"/>
    </row>
    <row r="58" spans="1:15" ht="14" customHeight="1" x14ac:dyDescent="0.45">
      <c r="A58" s="7">
        <v>45574</v>
      </c>
      <c r="B58" s="5" t="s">
        <v>136</v>
      </c>
      <c r="C58" s="5" t="s">
        <v>90</v>
      </c>
      <c r="D58" s="5">
        <v>1</v>
      </c>
      <c r="E58" s="5">
        <v>4</v>
      </c>
      <c r="F58" s="5">
        <v>2</v>
      </c>
      <c r="G58" s="7">
        <v>45769</v>
      </c>
      <c r="H58" s="5" t="s">
        <v>91</v>
      </c>
      <c r="I58" s="5">
        <v>1</v>
      </c>
      <c r="J58" s="5" t="s">
        <v>69</v>
      </c>
      <c r="K58" s="6">
        <f>IF(J58=[13]Legend!$A$67,[13]Legend!$B$67,(IF(J58=[13]Legend!$A$68,[13]Legend!$B$68,IF(J58=[13]Legend!$A$69, [13]Legend!$B$69, IF(J58=[13]Legend!$A$70, [13]Legend!$B$70, IF(J58=[13]Legend!$A$71, [13]Legend!$B$71, IF(J58=[13]Legend!$A$72, [13]Legend!$B$72, IF(J58=[13]Legend!$A$73, [13]Legend!$B$73, (IF(J58=[13]Legend!$A$74, [13]Legend!$B$74, IF(J58=[13]Legend!$A$75, [13]Legend!$B$75, "")))))))))))</f>
        <v>120</v>
      </c>
      <c r="L58" s="5">
        <v>121</v>
      </c>
      <c r="M58" s="5">
        <v>0</v>
      </c>
      <c r="N58" s="5"/>
      <c r="O58" s="5"/>
    </row>
    <row r="59" spans="1:15" ht="14" customHeight="1" x14ac:dyDescent="0.45">
      <c r="A59" s="7">
        <v>45581</v>
      </c>
      <c r="B59" s="5" t="s">
        <v>136</v>
      </c>
      <c r="C59" s="5" t="s">
        <v>16</v>
      </c>
      <c r="D59" s="5">
        <v>2</v>
      </c>
      <c r="E59" s="5">
        <v>4</v>
      </c>
      <c r="F59" s="5">
        <v>2</v>
      </c>
      <c r="G59" s="7">
        <v>45734</v>
      </c>
      <c r="H59" s="5" t="s">
        <v>91</v>
      </c>
      <c r="I59" s="5">
        <v>1</v>
      </c>
      <c r="J59" s="5" t="s">
        <v>60</v>
      </c>
      <c r="K59" s="6">
        <f>IF(J59=[9]Legend!$A$67,[9]Legend!$B$67,(IF(J59=[9]Legend!$A$68,[9]Legend!$B$68,IF(J59=[9]Legend!$A$69, [9]Legend!$B$69, IF(J59=[9]Legend!$A$70, [9]Legend!$B$70, IF(J59=[9]Legend!$A$71, [9]Legend!$B$71, IF(J59=[9]Legend!$A$72, [9]Legend!$B$72, IF(J59=[9]Legend!$A$73, [9]Legend!$B$73, (IF(J59=[9]Legend!$A$74, [9]Legend!$B$74, IF(J59=[9]Legend!$A$75, [9]Legend!$B$75, "")))))))))))</f>
        <v>25</v>
      </c>
      <c r="L59" s="5">
        <v>25</v>
      </c>
      <c r="M59" s="5">
        <v>0</v>
      </c>
      <c r="N59" s="5"/>
      <c r="O59" s="5"/>
    </row>
    <row r="60" spans="1:15" ht="14" customHeight="1" x14ac:dyDescent="0.45">
      <c r="A60" s="7">
        <v>45581</v>
      </c>
      <c r="B60" s="5" t="s">
        <v>136</v>
      </c>
      <c r="C60" s="5" t="s">
        <v>16</v>
      </c>
      <c r="D60" s="5">
        <v>2</v>
      </c>
      <c r="E60" s="5">
        <v>4</v>
      </c>
      <c r="F60" s="5">
        <v>2</v>
      </c>
      <c r="G60" s="7">
        <v>45734</v>
      </c>
      <c r="H60" s="5" t="s">
        <v>91</v>
      </c>
      <c r="I60" s="5">
        <v>1</v>
      </c>
      <c r="J60" s="5" t="s">
        <v>18</v>
      </c>
      <c r="K60" s="6">
        <f>IF(J60=[9]Legend!$A$67,[9]Legend!$B$67,(IF(J60=[9]Legend!$A$68,[9]Legend!$B$68,IF(J60=[9]Legend!$A$69, [9]Legend!$B$69, IF(J60=[9]Legend!$A$70, [9]Legend!$B$70, IF(J60=[9]Legend!$A$71, [9]Legend!$B$71, IF(J60=[9]Legend!$A$72, [9]Legend!$B$72, IF(J60=[9]Legend!$A$73, [9]Legend!$B$73, (IF(J60=[9]Legend!$A$74, [9]Legend!$B$74, IF(J60=[9]Legend!$A$75, [9]Legend!$B$75, "")))))))))))</f>
        <v>5</v>
      </c>
      <c r="L60" s="5">
        <v>5</v>
      </c>
      <c r="M60" s="5">
        <v>0</v>
      </c>
      <c r="N60" s="5"/>
      <c r="O60" s="5"/>
    </row>
    <row r="61" spans="1:15" ht="14" customHeight="1" x14ac:dyDescent="0.45">
      <c r="A61" s="7">
        <v>45581</v>
      </c>
      <c r="B61" s="5" t="s">
        <v>136</v>
      </c>
      <c r="C61" s="5" t="s">
        <v>16</v>
      </c>
      <c r="D61" s="5">
        <v>2</v>
      </c>
      <c r="E61" s="5">
        <v>4</v>
      </c>
      <c r="F61" s="5">
        <v>2</v>
      </c>
      <c r="G61" s="7">
        <v>45734</v>
      </c>
      <c r="H61" s="5" t="s">
        <v>91</v>
      </c>
      <c r="I61" s="5">
        <v>1</v>
      </c>
      <c r="J61" s="5" t="s">
        <v>69</v>
      </c>
      <c r="K61" s="6">
        <f>IF(J61=[9]Legend!$A$67,[9]Legend!$B$67,(IF(J61=[9]Legend!$A$68,[9]Legend!$B$68,IF(J61=[9]Legend!$A$69, [9]Legend!$B$69, IF(J61=[9]Legend!$A$70, [9]Legend!$B$70, IF(J61=[9]Legend!$A$71, [9]Legend!$B$71, IF(J61=[9]Legend!$A$72, [9]Legend!$B$72, IF(J61=[9]Legend!$A$73, [9]Legend!$B$73, (IF(J61=[9]Legend!$A$74, [9]Legend!$B$74, IF(J61=[9]Legend!$A$75, [9]Legend!$B$75, "")))))))))))</f>
        <v>120</v>
      </c>
      <c r="L61" s="5">
        <v>120</v>
      </c>
      <c r="M61" s="5">
        <v>0</v>
      </c>
      <c r="N61" s="5"/>
      <c r="O61" s="5"/>
    </row>
    <row r="62" spans="1:15" ht="14" customHeight="1" x14ac:dyDescent="0.45">
      <c r="A62" s="7">
        <v>45581</v>
      </c>
      <c r="B62" s="5" t="s">
        <v>136</v>
      </c>
      <c r="C62" s="5" t="s">
        <v>124</v>
      </c>
      <c r="D62" s="5">
        <v>2</v>
      </c>
      <c r="E62" s="5">
        <v>4</v>
      </c>
      <c r="F62" s="5">
        <v>1</v>
      </c>
      <c r="G62" s="7">
        <v>45775</v>
      </c>
      <c r="H62" s="5" t="s">
        <v>91</v>
      </c>
      <c r="I62" s="5">
        <v>1</v>
      </c>
      <c r="J62" s="5" t="s">
        <v>60</v>
      </c>
      <c r="K62" s="6">
        <f>IF(J62=[13]Legend!$A$67,[13]Legend!$B$67,(IF(J62=[13]Legend!$A$68,[13]Legend!$B$68,IF(J62=[13]Legend!$A$69, [13]Legend!$B$69, IF(J62=[13]Legend!$A$70, [13]Legend!$B$70, IF(J62=[13]Legend!$A$71, [13]Legend!$B$71, IF(J62=[13]Legend!$A$72, [13]Legend!$B$72, IF(J62=[13]Legend!$A$73, [13]Legend!$B$73, (IF(J62=[13]Legend!$A$74, [13]Legend!$B$74, IF(J62=[13]Legend!$A$75, [13]Legend!$B$75, "")))))))))))</f>
        <v>25</v>
      </c>
      <c r="L62" s="5">
        <v>25</v>
      </c>
      <c r="M62" s="5">
        <v>2</v>
      </c>
      <c r="N62" s="5" t="s">
        <v>23</v>
      </c>
      <c r="O62" s="5"/>
    </row>
    <row r="63" spans="1:15" ht="14" customHeight="1" x14ac:dyDescent="0.45">
      <c r="A63" s="7">
        <v>45581</v>
      </c>
      <c r="B63" s="5" t="s">
        <v>136</v>
      </c>
      <c r="C63" s="5" t="s">
        <v>124</v>
      </c>
      <c r="D63" s="5">
        <v>2</v>
      </c>
      <c r="E63" s="5">
        <v>4</v>
      </c>
      <c r="F63" s="5">
        <v>1</v>
      </c>
      <c r="G63" s="7">
        <v>45775</v>
      </c>
      <c r="H63" s="5" t="s">
        <v>91</v>
      </c>
      <c r="I63" s="5">
        <v>1</v>
      </c>
      <c r="J63" s="5" t="s">
        <v>18</v>
      </c>
      <c r="K63" s="6">
        <f>IF(J63=[13]Legend!$A$67,[13]Legend!$B$67,(IF(J63=[13]Legend!$A$68,[13]Legend!$B$68,IF(J63=[13]Legend!$A$69, [13]Legend!$B$69, IF(J63=[13]Legend!$A$70, [13]Legend!$B$70, IF(J63=[13]Legend!$A$71, [13]Legend!$B$71, IF(J63=[13]Legend!$A$72, [13]Legend!$B$72, IF(J63=[13]Legend!$A$73, [13]Legend!$B$73, (IF(J63=[13]Legend!$A$74, [13]Legend!$B$74, IF(J63=[13]Legend!$A$75, [13]Legend!$B$75, "")))))))))))</f>
        <v>5</v>
      </c>
      <c r="L63" s="5">
        <v>5</v>
      </c>
      <c r="M63" s="5">
        <v>0</v>
      </c>
      <c r="N63" s="5"/>
      <c r="O63" s="5"/>
    </row>
    <row r="64" spans="1:15" ht="14" customHeight="1" x14ac:dyDescent="0.45">
      <c r="A64" s="7">
        <v>45581</v>
      </c>
      <c r="B64" s="5" t="s">
        <v>136</v>
      </c>
      <c r="C64" s="5" t="s">
        <v>124</v>
      </c>
      <c r="D64" s="5">
        <v>2</v>
      </c>
      <c r="E64" s="5">
        <v>4</v>
      </c>
      <c r="F64" s="5">
        <v>1</v>
      </c>
      <c r="G64" s="7">
        <v>45775</v>
      </c>
      <c r="H64" s="5" t="s">
        <v>91</v>
      </c>
      <c r="I64" s="5">
        <v>1</v>
      </c>
      <c r="J64" s="5" t="s">
        <v>69</v>
      </c>
      <c r="K64" s="6">
        <f>IF(J64=[13]Legend!$A$67,[13]Legend!$B$67,(IF(J64=[13]Legend!$A$68,[13]Legend!$B$68,IF(J64=[13]Legend!$A$69, [13]Legend!$B$69, IF(J64=[13]Legend!$A$70, [13]Legend!$B$70, IF(J64=[13]Legend!$A$71, [13]Legend!$B$71, IF(J64=[13]Legend!$A$72, [13]Legend!$B$72, IF(J64=[13]Legend!$A$73, [13]Legend!$B$73, (IF(J64=[13]Legend!$A$74, [13]Legend!$B$74, IF(J64=[13]Legend!$A$75, [13]Legend!$B$75, "")))))))))))</f>
        <v>120</v>
      </c>
      <c r="L64" s="5">
        <v>120</v>
      </c>
      <c r="M64" s="5">
        <v>0</v>
      </c>
      <c r="N64" s="5"/>
      <c r="O64" s="5"/>
    </row>
    <row r="65" spans="1:15" ht="14" customHeight="1" x14ac:dyDescent="0.45">
      <c r="A65" s="7">
        <v>45574</v>
      </c>
      <c r="B65" s="5" t="s">
        <v>136</v>
      </c>
      <c r="C65" s="5" t="s">
        <v>90</v>
      </c>
      <c r="D65" s="20">
        <v>1</v>
      </c>
      <c r="E65" s="5">
        <v>4</v>
      </c>
      <c r="F65" s="5">
        <v>1</v>
      </c>
      <c r="G65" s="7">
        <v>45777</v>
      </c>
      <c r="H65" s="5" t="s">
        <v>91</v>
      </c>
      <c r="I65" s="5">
        <v>1</v>
      </c>
      <c r="J65" s="5" t="s">
        <v>60</v>
      </c>
      <c r="K65" s="6">
        <f>IF(J65=[13]Legend!$A$67,[13]Legend!$B$67,(IF(J65=[13]Legend!$A$68,[13]Legend!$B$68,IF(J65=[13]Legend!$A$69, [13]Legend!$B$69, IF(J65=[13]Legend!$A$70, [13]Legend!$B$70, IF(J65=[13]Legend!$A$71, [13]Legend!$B$71, IF(J65=[13]Legend!$A$72, [13]Legend!$B$72, IF(J65=[13]Legend!$A$73, [13]Legend!$B$73, (IF(J65=[13]Legend!$A$74, [13]Legend!$B$74, IF(J65=[13]Legend!$A$75, [13]Legend!$B$75, "")))))))))))</f>
        <v>25</v>
      </c>
      <c r="L65" s="5">
        <v>25</v>
      </c>
      <c r="M65" s="5">
        <v>0</v>
      </c>
      <c r="N65" s="5"/>
      <c r="O65" s="5"/>
    </row>
    <row r="66" spans="1:15" ht="14" customHeight="1" x14ac:dyDescent="0.45">
      <c r="A66" s="7">
        <v>45574</v>
      </c>
      <c r="B66" s="5" t="s">
        <v>136</v>
      </c>
      <c r="C66" s="5" t="s">
        <v>90</v>
      </c>
      <c r="D66" s="20">
        <v>1</v>
      </c>
      <c r="E66" s="5">
        <v>4</v>
      </c>
      <c r="F66" s="5">
        <v>1</v>
      </c>
      <c r="G66" s="7">
        <v>45777</v>
      </c>
      <c r="H66" s="5" t="s">
        <v>91</v>
      </c>
      <c r="I66" s="5">
        <v>1</v>
      </c>
      <c r="J66" s="5" t="s">
        <v>18</v>
      </c>
      <c r="K66" s="6">
        <f>IF(J66=[13]Legend!$A$67,[13]Legend!$B$67,(IF(J66=[13]Legend!$A$68,[13]Legend!$B$68,IF(J66=[13]Legend!$A$69, [13]Legend!$B$69, IF(J66=[13]Legend!$A$70, [13]Legend!$B$70, IF(J66=[13]Legend!$A$71, [13]Legend!$B$71, IF(J66=[13]Legend!$A$72, [13]Legend!$B$72, IF(J66=[13]Legend!$A$73, [13]Legend!$B$73, (IF(J66=[13]Legend!$A$74, [13]Legend!$B$74, IF(J66=[13]Legend!$A$75, [13]Legend!$B$75, "")))))))))))</f>
        <v>5</v>
      </c>
      <c r="L66" s="5">
        <v>5</v>
      </c>
      <c r="M66" s="5">
        <v>0</v>
      </c>
      <c r="N66" s="5"/>
      <c r="O66" s="5"/>
    </row>
    <row r="67" spans="1:15" ht="14" customHeight="1" x14ac:dyDescent="0.45">
      <c r="A67" s="7">
        <v>45574</v>
      </c>
      <c r="B67" s="5" t="s">
        <v>136</v>
      </c>
      <c r="C67" s="5" t="s">
        <v>90</v>
      </c>
      <c r="D67" s="20">
        <v>1</v>
      </c>
      <c r="E67" s="5">
        <v>4</v>
      </c>
      <c r="F67" s="5">
        <v>1</v>
      </c>
      <c r="G67" s="7">
        <v>45777</v>
      </c>
      <c r="H67" s="5" t="s">
        <v>91</v>
      </c>
      <c r="I67" s="5">
        <v>1</v>
      </c>
      <c r="J67" s="5" t="s">
        <v>69</v>
      </c>
      <c r="K67" s="6">
        <f>IF(J67=[13]Legend!$A$67,[13]Legend!$B$67,(IF(J67=[13]Legend!$A$68,[13]Legend!$B$68,IF(J67=[13]Legend!$A$69, [13]Legend!$B$69, IF(J67=[13]Legend!$A$70, [13]Legend!$B$70, IF(J67=[13]Legend!$A$71, [13]Legend!$B$71, IF(J67=[13]Legend!$A$72, [13]Legend!$B$72, IF(J67=[13]Legend!$A$73, [13]Legend!$B$73, (IF(J67=[13]Legend!$A$74, [13]Legend!$B$74, IF(J67=[13]Legend!$A$75, [13]Legend!$B$75, "")))))))))))</f>
        <v>120</v>
      </c>
      <c r="L67" s="5">
        <v>120</v>
      </c>
      <c r="M67" s="5">
        <v>2</v>
      </c>
      <c r="N67" s="5" t="s">
        <v>30</v>
      </c>
      <c r="O67" s="5"/>
    </row>
    <row r="68" spans="1:15" ht="14" customHeight="1" x14ac:dyDescent="0.45">
      <c r="A68" s="7">
        <v>45581</v>
      </c>
      <c r="B68" s="5" t="s">
        <v>136</v>
      </c>
      <c r="C68" s="5" t="s">
        <v>124</v>
      </c>
      <c r="D68" s="5">
        <v>2</v>
      </c>
      <c r="E68" s="5">
        <v>4</v>
      </c>
      <c r="F68" s="5">
        <v>2</v>
      </c>
      <c r="G68" s="7">
        <v>45782</v>
      </c>
      <c r="H68" s="5" t="s">
        <v>91</v>
      </c>
      <c r="I68" s="5">
        <v>1</v>
      </c>
      <c r="J68" s="5" t="s">
        <v>60</v>
      </c>
      <c r="K68" s="6">
        <f>IF(J68=[13]Legend!$A$67,[13]Legend!$B$67,(IF(J68=[13]Legend!$A$68,[13]Legend!$B$68,IF(J68=[13]Legend!$A$69, [13]Legend!$B$69, IF(J68=[13]Legend!$A$70, [13]Legend!$B$70, IF(J68=[13]Legend!$A$71, [13]Legend!$B$71, IF(J68=[13]Legend!$A$72, [13]Legend!$B$72, IF(J68=[13]Legend!$A$73, [13]Legend!$B$73, (IF(J68=[13]Legend!$A$74, [13]Legend!$B$74, IF(J68=[13]Legend!$A$75, [13]Legend!$B$75, "")))))))))))</f>
        <v>25</v>
      </c>
      <c r="L68" s="5">
        <v>25</v>
      </c>
      <c r="M68" s="5">
        <v>1</v>
      </c>
      <c r="N68" s="5" t="s">
        <v>21</v>
      </c>
      <c r="O68" s="5" t="s">
        <v>159</v>
      </c>
    </row>
    <row r="69" spans="1:15" ht="14" customHeight="1" x14ac:dyDescent="0.45">
      <c r="A69" s="7">
        <v>45581</v>
      </c>
      <c r="B69" s="5" t="s">
        <v>136</v>
      </c>
      <c r="C69" s="5" t="s">
        <v>124</v>
      </c>
      <c r="D69" s="5">
        <v>2</v>
      </c>
      <c r="E69" s="5">
        <v>4</v>
      </c>
      <c r="F69" s="5">
        <v>2</v>
      </c>
      <c r="G69" s="7">
        <v>45782</v>
      </c>
      <c r="H69" s="5" t="s">
        <v>91</v>
      </c>
      <c r="I69" s="5">
        <v>1</v>
      </c>
      <c r="J69" s="5" t="s">
        <v>18</v>
      </c>
      <c r="K69" s="6">
        <f>IF(J69=[13]Legend!$A$67,[13]Legend!$B$67,(IF(J69=[13]Legend!$A$68,[13]Legend!$B$68,IF(J69=[13]Legend!$A$69, [13]Legend!$B$69, IF(J69=[13]Legend!$A$70, [13]Legend!$B$70, IF(J69=[13]Legend!$A$71, [13]Legend!$B$71, IF(J69=[13]Legend!$A$72, [13]Legend!$B$72, IF(J69=[13]Legend!$A$73, [13]Legend!$B$73, (IF(J69=[13]Legend!$A$74, [13]Legend!$B$74, IF(J69=[13]Legend!$A$75, [13]Legend!$B$75, "")))))))))))</f>
        <v>5</v>
      </c>
      <c r="L69" s="5">
        <v>5</v>
      </c>
      <c r="M69" s="5">
        <v>0</v>
      </c>
      <c r="N69" s="5"/>
      <c r="O69" s="5" t="s">
        <v>159</v>
      </c>
    </row>
    <row r="70" spans="1:15" ht="14" customHeight="1" x14ac:dyDescent="0.45">
      <c r="A70" s="7">
        <v>45581</v>
      </c>
      <c r="B70" s="5" t="s">
        <v>136</v>
      </c>
      <c r="C70" s="5" t="s">
        <v>124</v>
      </c>
      <c r="D70" s="5">
        <v>2</v>
      </c>
      <c r="E70" s="5">
        <v>4</v>
      </c>
      <c r="F70" s="5">
        <v>2</v>
      </c>
      <c r="G70" s="7">
        <v>45782</v>
      </c>
      <c r="H70" s="5" t="s">
        <v>91</v>
      </c>
      <c r="I70" s="5">
        <v>1</v>
      </c>
      <c r="J70" s="5" t="s">
        <v>69</v>
      </c>
      <c r="K70" s="6">
        <f>IF(J70=[13]Legend!$A$67,[13]Legend!$B$67,(IF(J70=[13]Legend!$A$68,[13]Legend!$B$68,IF(J70=[13]Legend!$A$69, [13]Legend!$B$69, IF(J70=[13]Legend!$A$70, [13]Legend!$B$70, IF(J70=[13]Legend!$A$71, [13]Legend!$B$71, IF(J70=[13]Legend!$A$72, [13]Legend!$B$72, IF(J70=[13]Legend!$A$73, [13]Legend!$B$73, (IF(J70=[13]Legend!$A$74, [13]Legend!$B$74, IF(J70=[13]Legend!$A$75, [13]Legend!$B$75, "")))))))))))</f>
        <v>120</v>
      </c>
      <c r="L70" s="5">
        <v>120</v>
      </c>
      <c r="M70" s="5">
        <v>0</v>
      </c>
      <c r="N70" s="5"/>
      <c r="O70" s="5" t="s">
        <v>159</v>
      </c>
    </row>
    <row r="71" spans="1:15" ht="14" customHeight="1" x14ac:dyDescent="0.45">
      <c r="A71" s="7">
        <v>45574</v>
      </c>
      <c r="B71" s="5" t="s">
        <v>136</v>
      </c>
      <c r="C71" s="5" t="s">
        <v>90</v>
      </c>
      <c r="D71" s="5">
        <v>1</v>
      </c>
      <c r="E71" s="5">
        <v>5</v>
      </c>
      <c r="F71" s="5">
        <v>2</v>
      </c>
      <c r="G71" s="7">
        <v>45769</v>
      </c>
      <c r="H71" s="5" t="s">
        <v>91</v>
      </c>
      <c r="I71" s="5">
        <v>1</v>
      </c>
      <c r="J71" s="5" t="s">
        <v>60</v>
      </c>
      <c r="K71" s="6">
        <f>IF(J71=[13]Legend!$A$67,[13]Legend!$B$67,(IF(J71=[13]Legend!$A$68,[13]Legend!$B$68,IF(J71=[13]Legend!$A$69, [13]Legend!$B$69, IF(J71=[13]Legend!$A$70, [13]Legend!$B$70, IF(J71=[13]Legend!$A$71, [13]Legend!$B$71, IF(J71=[13]Legend!$A$72, [13]Legend!$B$72, IF(J71=[13]Legend!$A$73, [13]Legend!$B$73, (IF(J71=[13]Legend!$A$74, [13]Legend!$B$74, IF(J71=[13]Legend!$A$75, [13]Legend!$B$75, "")))))))))))</f>
        <v>25</v>
      </c>
      <c r="L71" s="5">
        <v>25</v>
      </c>
      <c r="M71" s="5">
        <v>0</v>
      </c>
      <c r="N71" s="5"/>
      <c r="O71" s="5"/>
    </row>
    <row r="72" spans="1:15" ht="14" customHeight="1" x14ac:dyDescent="0.45">
      <c r="A72" s="7">
        <v>45574</v>
      </c>
      <c r="B72" s="5" t="s">
        <v>136</v>
      </c>
      <c r="C72" s="5" t="s">
        <v>90</v>
      </c>
      <c r="D72" s="5">
        <v>1</v>
      </c>
      <c r="E72" s="5">
        <v>5</v>
      </c>
      <c r="F72" s="5">
        <v>2</v>
      </c>
      <c r="G72" s="7">
        <v>45769</v>
      </c>
      <c r="H72" s="5" t="s">
        <v>91</v>
      </c>
      <c r="I72" s="5">
        <v>1</v>
      </c>
      <c r="J72" s="5" t="s">
        <v>18</v>
      </c>
      <c r="K72" s="6">
        <f>IF(J72=[13]Legend!$A$67,[13]Legend!$B$67,(IF(J72=[13]Legend!$A$68,[13]Legend!$B$68,IF(J72=[13]Legend!$A$69, [13]Legend!$B$69, IF(J72=[13]Legend!$A$70, [13]Legend!$B$70, IF(J72=[13]Legend!$A$71, [13]Legend!$B$71, IF(J72=[13]Legend!$A$72, [13]Legend!$B$72, IF(J72=[13]Legend!$A$73, [13]Legend!$B$73, (IF(J72=[13]Legend!$A$74, [13]Legend!$B$74, IF(J72=[13]Legend!$A$75, [13]Legend!$B$75, "")))))))))))</f>
        <v>5</v>
      </c>
      <c r="L72" s="5">
        <v>5</v>
      </c>
      <c r="M72" s="5">
        <v>0</v>
      </c>
      <c r="N72" s="5"/>
      <c r="O72" s="5"/>
    </row>
    <row r="73" spans="1:15" ht="14" customHeight="1" x14ac:dyDescent="0.45">
      <c r="A73" s="7">
        <v>45574</v>
      </c>
      <c r="B73" s="5" t="s">
        <v>136</v>
      </c>
      <c r="C73" s="5" t="s">
        <v>90</v>
      </c>
      <c r="D73" s="5">
        <v>1</v>
      </c>
      <c r="E73" s="5">
        <v>5</v>
      </c>
      <c r="F73" s="5">
        <v>2</v>
      </c>
      <c r="G73" s="7">
        <v>45769</v>
      </c>
      <c r="H73" s="5" t="s">
        <v>91</v>
      </c>
      <c r="I73" s="5">
        <v>1</v>
      </c>
      <c r="J73" s="5" t="s">
        <v>69</v>
      </c>
      <c r="K73" s="6">
        <f>IF(J73=[13]Legend!$A$67,[13]Legend!$B$67,(IF(J73=[13]Legend!$A$68,[13]Legend!$B$68,IF(J73=[13]Legend!$A$69, [13]Legend!$B$69, IF(J73=[13]Legend!$A$70, [13]Legend!$B$70, IF(J73=[13]Legend!$A$71, [13]Legend!$B$71, IF(J73=[13]Legend!$A$72, [13]Legend!$B$72, IF(J73=[13]Legend!$A$73, [13]Legend!$B$73, (IF(J73=[13]Legend!$A$74, [13]Legend!$B$74, IF(J73=[13]Legend!$A$75, [13]Legend!$B$75, "")))))))))))</f>
        <v>120</v>
      </c>
      <c r="L73" s="5">
        <v>120</v>
      </c>
      <c r="M73" s="5">
        <v>1</v>
      </c>
      <c r="N73" s="5" t="s">
        <v>21</v>
      </c>
      <c r="O73" s="5"/>
    </row>
    <row r="74" spans="1:15" ht="14" customHeight="1" x14ac:dyDescent="0.45">
      <c r="A74" s="7">
        <v>45581</v>
      </c>
      <c r="B74" s="5" t="s">
        <v>136</v>
      </c>
      <c r="C74" s="5" t="s">
        <v>124</v>
      </c>
      <c r="D74" s="5">
        <v>2</v>
      </c>
      <c r="E74" s="5">
        <v>5</v>
      </c>
      <c r="F74" s="5">
        <v>1</v>
      </c>
      <c r="G74" s="7">
        <v>45777</v>
      </c>
      <c r="H74" s="5" t="s">
        <v>91</v>
      </c>
      <c r="I74" s="5">
        <v>1</v>
      </c>
      <c r="J74" s="5" t="s">
        <v>60</v>
      </c>
      <c r="K74" s="6">
        <f>IF(J74=[13]Legend!$A$67,[13]Legend!$B$67,(IF(J74=[13]Legend!$A$68,[13]Legend!$B$68,IF(J74=[13]Legend!$A$69, [13]Legend!$B$69, IF(J74=[13]Legend!$A$70, [13]Legend!$B$70, IF(J74=[13]Legend!$A$71, [13]Legend!$B$71, IF(J74=[13]Legend!$A$72, [13]Legend!$B$72, IF(J74=[13]Legend!$A$73, [13]Legend!$B$73, (IF(J74=[13]Legend!$A$74, [13]Legend!$B$74, IF(J74=[13]Legend!$A$75, [13]Legend!$B$75, "")))))))))))</f>
        <v>25</v>
      </c>
      <c r="L74" s="5">
        <v>25</v>
      </c>
      <c r="M74" s="5">
        <v>3</v>
      </c>
      <c r="N74" s="5" t="s">
        <v>30</v>
      </c>
      <c r="O74" s="5"/>
    </row>
    <row r="75" spans="1:15" ht="14" customHeight="1" x14ac:dyDescent="0.45">
      <c r="A75" s="7">
        <v>45581</v>
      </c>
      <c r="B75" s="5" t="s">
        <v>136</v>
      </c>
      <c r="C75" s="5" t="s">
        <v>124</v>
      </c>
      <c r="D75" s="5">
        <v>2</v>
      </c>
      <c r="E75" s="5">
        <v>5</v>
      </c>
      <c r="F75" s="5">
        <v>1</v>
      </c>
      <c r="G75" s="7">
        <v>45777</v>
      </c>
      <c r="H75" s="5" t="s">
        <v>91</v>
      </c>
      <c r="I75" s="5">
        <v>1</v>
      </c>
      <c r="J75" s="5" t="s">
        <v>18</v>
      </c>
      <c r="K75" s="6">
        <f>IF(J75=[13]Legend!$A$67,[13]Legend!$B$67,(IF(J75=[13]Legend!$A$68,[13]Legend!$B$68,IF(J75=[13]Legend!$A$69, [13]Legend!$B$69, IF(J75=[13]Legend!$A$70, [13]Legend!$B$70, IF(J75=[13]Legend!$A$71, [13]Legend!$B$71, IF(J75=[13]Legend!$A$72, [13]Legend!$B$72, IF(J75=[13]Legend!$A$73, [13]Legend!$B$73, (IF(J75=[13]Legend!$A$74, [13]Legend!$B$74, IF(J75=[13]Legend!$A$75, [13]Legend!$B$75, "")))))))))))</f>
        <v>5</v>
      </c>
      <c r="L75" s="5">
        <v>5</v>
      </c>
      <c r="M75" s="5">
        <v>0</v>
      </c>
      <c r="N75" s="5"/>
      <c r="O75" s="5"/>
    </row>
    <row r="76" spans="1:15" ht="14" customHeight="1" x14ac:dyDescent="0.45">
      <c r="A76" s="7">
        <v>45581</v>
      </c>
      <c r="B76" s="5" t="s">
        <v>136</v>
      </c>
      <c r="C76" s="5" t="s">
        <v>124</v>
      </c>
      <c r="D76" s="5">
        <v>2</v>
      </c>
      <c r="E76" s="5">
        <v>5</v>
      </c>
      <c r="F76" s="5">
        <v>1</v>
      </c>
      <c r="G76" s="7">
        <v>45777</v>
      </c>
      <c r="H76" s="5" t="s">
        <v>91</v>
      </c>
      <c r="I76" s="5">
        <v>1</v>
      </c>
      <c r="J76" s="5" t="s">
        <v>69</v>
      </c>
      <c r="K76" s="6">
        <f>IF(J76=[13]Legend!$A$67,[13]Legend!$B$67,(IF(J76=[13]Legend!$A$68,[13]Legend!$B$68,IF(J76=[13]Legend!$A$69, [13]Legend!$B$69, IF(J76=[13]Legend!$A$70, [13]Legend!$B$70, IF(J76=[13]Legend!$A$71, [13]Legend!$B$71, IF(J76=[13]Legend!$A$72, [13]Legend!$B$72, IF(J76=[13]Legend!$A$73, [13]Legend!$B$73, (IF(J76=[13]Legend!$A$74, [13]Legend!$B$74, IF(J76=[13]Legend!$A$75, [13]Legend!$B$75, "")))))))))))</f>
        <v>120</v>
      </c>
      <c r="L76" s="5">
        <v>118</v>
      </c>
      <c r="M76" s="5">
        <v>0</v>
      </c>
      <c r="N76" s="5"/>
      <c r="O76" s="5"/>
    </row>
    <row r="77" spans="1:15" ht="14" customHeight="1" x14ac:dyDescent="0.45">
      <c r="A77" s="7">
        <v>45581</v>
      </c>
      <c r="B77" s="5" t="s">
        <v>136</v>
      </c>
      <c r="C77" s="5" t="s">
        <v>124</v>
      </c>
      <c r="D77" s="5">
        <v>2</v>
      </c>
      <c r="E77" s="5">
        <v>5</v>
      </c>
      <c r="F77" s="5">
        <v>2</v>
      </c>
      <c r="G77" s="7">
        <v>45782</v>
      </c>
      <c r="H77" s="5" t="s">
        <v>91</v>
      </c>
      <c r="I77" s="5">
        <v>1</v>
      </c>
      <c r="J77" s="5" t="s">
        <v>60</v>
      </c>
      <c r="K77" s="6">
        <f>IF(J77=[13]Legend!$A$67,[13]Legend!$B$67,(IF(J77=[13]Legend!$A$68,[13]Legend!$B$68,IF(J77=[13]Legend!$A$69, [13]Legend!$B$69, IF(J77=[13]Legend!$A$70, [13]Legend!$B$70, IF(J77=[13]Legend!$A$71, [13]Legend!$B$71, IF(J77=[13]Legend!$A$72, [13]Legend!$B$72, IF(J77=[13]Legend!$A$73, [13]Legend!$B$73, (IF(J77=[13]Legend!$A$74, [13]Legend!$B$74, IF(J77=[13]Legend!$A$75, [13]Legend!$B$75, "")))))))))))</f>
        <v>25</v>
      </c>
      <c r="L77" s="5">
        <v>25</v>
      </c>
      <c r="M77" s="5">
        <v>0</v>
      </c>
      <c r="N77" s="5"/>
      <c r="O77" s="5"/>
    </row>
    <row r="78" spans="1:15" ht="14" customHeight="1" x14ac:dyDescent="0.45">
      <c r="A78" s="7">
        <v>45581</v>
      </c>
      <c r="B78" s="5" t="s">
        <v>136</v>
      </c>
      <c r="C78" s="5" t="s">
        <v>124</v>
      </c>
      <c r="D78" s="5">
        <v>2</v>
      </c>
      <c r="E78" s="5">
        <v>5</v>
      </c>
      <c r="F78" s="5">
        <v>2</v>
      </c>
      <c r="G78" s="7">
        <v>45782</v>
      </c>
      <c r="H78" s="5" t="s">
        <v>91</v>
      </c>
      <c r="I78" s="5">
        <v>1</v>
      </c>
      <c r="J78" s="5" t="s">
        <v>18</v>
      </c>
      <c r="K78" s="6">
        <f>IF(J78=[13]Legend!$A$67,[13]Legend!$B$67,(IF(J78=[13]Legend!$A$68,[13]Legend!$B$68,IF(J78=[13]Legend!$A$69, [13]Legend!$B$69, IF(J78=[13]Legend!$A$70, [13]Legend!$B$70, IF(J78=[13]Legend!$A$71, [13]Legend!$B$71, IF(J78=[13]Legend!$A$72, [13]Legend!$B$72, IF(J78=[13]Legend!$A$73, [13]Legend!$B$73, (IF(J78=[13]Legend!$A$74, [13]Legend!$B$74, IF(J78=[13]Legend!$A$75, [13]Legend!$B$75, "")))))))))))</f>
        <v>5</v>
      </c>
      <c r="L78" s="5">
        <v>5</v>
      </c>
      <c r="M78" s="5">
        <v>1</v>
      </c>
      <c r="N78" s="5" t="s">
        <v>30</v>
      </c>
      <c r="O78" s="5"/>
    </row>
    <row r="79" spans="1:15" ht="14" customHeight="1" x14ac:dyDescent="0.45">
      <c r="A79" s="7">
        <v>45581</v>
      </c>
      <c r="B79" s="5" t="s">
        <v>136</v>
      </c>
      <c r="C79" s="5" t="s">
        <v>124</v>
      </c>
      <c r="D79" s="5">
        <v>2</v>
      </c>
      <c r="E79" s="5">
        <v>5</v>
      </c>
      <c r="F79" s="5">
        <v>2</v>
      </c>
      <c r="G79" s="7">
        <v>45782</v>
      </c>
      <c r="H79" s="5" t="s">
        <v>91</v>
      </c>
      <c r="I79" s="5">
        <v>1</v>
      </c>
      <c r="J79" s="5" t="s">
        <v>69</v>
      </c>
      <c r="K79" s="6">
        <f>IF(J79=[13]Legend!$A$67,[13]Legend!$B$67,(IF(J79=[13]Legend!$A$68,[13]Legend!$B$68,IF(J79=[13]Legend!$A$69, [13]Legend!$B$69, IF(J79=[13]Legend!$A$70, [13]Legend!$B$70, IF(J79=[13]Legend!$A$71, [13]Legend!$B$71, IF(J79=[13]Legend!$A$72, [13]Legend!$B$72, IF(J79=[13]Legend!$A$73, [13]Legend!$B$73, (IF(J79=[13]Legend!$A$74, [13]Legend!$B$74, IF(J79=[13]Legend!$A$75, [13]Legend!$B$75, "")))))))))))</f>
        <v>120</v>
      </c>
      <c r="L79" s="5">
        <v>120</v>
      </c>
      <c r="M79" s="5">
        <v>0</v>
      </c>
      <c r="N79" s="5"/>
      <c r="O79" s="5"/>
    </row>
    <row r="80" spans="1:15" ht="14" customHeight="1" x14ac:dyDescent="0.45">
      <c r="A80" s="7">
        <v>45574</v>
      </c>
      <c r="B80" s="5" t="s">
        <v>136</v>
      </c>
      <c r="C80" s="5" t="s">
        <v>90</v>
      </c>
      <c r="D80" s="20">
        <v>1</v>
      </c>
      <c r="E80" s="5">
        <v>5</v>
      </c>
      <c r="F80" s="5">
        <v>1</v>
      </c>
      <c r="G80" s="7">
        <v>45782</v>
      </c>
      <c r="H80" s="5" t="s">
        <v>91</v>
      </c>
      <c r="I80" s="5">
        <v>1</v>
      </c>
      <c r="J80" s="5" t="s">
        <v>60</v>
      </c>
      <c r="K80" s="6">
        <f>IF(J80=[13]Legend!$A$67,[13]Legend!$B$67,(IF(J80=[13]Legend!$A$68,[13]Legend!$B$68,IF(J80=[13]Legend!$A$69, [13]Legend!$B$69, IF(J80=[13]Legend!$A$70, [13]Legend!$B$70, IF(J80=[13]Legend!$A$71, [13]Legend!$B$71, IF(J80=[13]Legend!$A$72, [13]Legend!$B$72, IF(J80=[13]Legend!$A$73, [13]Legend!$B$73, (IF(J80=[13]Legend!$A$74, [13]Legend!$B$74, IF(J80=[13]Legend!$A$75, [13]Legend!$B$75, "")))))))))))</f>
        <v>25</v>
      </c>
      <c r="L80" s="5">
        <v>25</v>
      </c>
      <c r="M80" s="5">
        <v>0</v>
      </c>
      <c r="N80" s="5"/>
      <c r="O80" s="5"/>
    </row>
    <row r="81" spans="1:15" ht="14" customHeight="1" x14ac:dyDescent="0.45">
      <c r="A81" s="7">
        <v>45574</v>
      </c>
      <c r="B81" s="5" t="s">
        <v>136</v>
      </c>
      <c r="C81" s="5" t="s">
        <v>90</v>
      </c>
      <c r="D81" s="20">
        <v>1</v>
      </c>
      <c r="E81" s="5">
        <v>5</v>
      </c>
      <c r="F81" s="5">
        <v>1</v>
      </c>
      <c r="G81" s="7">
        <v>45782</v>
      </c>
      <c r="H81" s="5" t="s">
        <v>91</v>
      </c>
      <c r="I81" s="5">
        <v>1</v>
      </c>
      <c r="J81" s="5" t="s">
        <v>18</v>
      </c>
      <c r="K81" s="6">
        <f>IF(J81=[13]Legend!$A$67,[13]Legend!$B$67,(IF(J81=[13]Legend!$A$68,[13]Legend!$B$68,IF(J81=[13]Legend!$A$69, [13]Legend!$B$69, IF(J81=[13]Legend!$A$70, [13]Legend!$B$70, IF(J81=[13]Legend!$A$71, [13]Legend!$B$71, IF(J81=[13]Legend!$A$72, [13]Legend!$B$72, IF(J81=[13]Legend!$A$73, [13]Legend!$B$73, (IF(J81=[13]Legend!$A$74, [13]Legend!$B$74, IF(J81=[13]Legend!$A$75, [13]Legend!$B$75, "")))))))))))</f>
        <v>5</v>
      </c>
      <c r="L81" s="5">
        <v>5</v>
      </c>
      <c r="M81" s="5">
        <v>0</v>
      </c>
      <c r="N81" s="5"/>
      <c r="O81" s="5"/>
    </row>
    <row r="82" spans="1:15" ht="14" customHeight="1" x14ac:dyDescent="0.45">
      <c r="A82" s="7">
        <v>45574</v>
      </c>
      <c r="B82" s="5" t="s">
        <v>136</v>
      </c>
      <c r="C82" s="5" t="s">
        <v>90</v>
      </c>
      <c r="D82" s="20">
        <v>1</v>
      </c>
      <c r="E82" s="5">
        <v>5</v>
      </c>
      <c r="F82" s="5">
        <v>1</v>
      </c>
      <c r="G82" s="7">
        <v>45782</v>
      </c>
      <c r="H82" s="5" t="s">
        <v>91</v>
      </c>
      <c r="I82" s="5">
        <v>1</v>
      </c>
      <c r="J82" s="5" t="s">
        <v>69</v>
      </c>
      <c r="K82" s="6">
        <f>IF(J82=[13]Legend!$A$67,[13]Legend!$B$67,(IF(J82=[13]Legend!$A$68,[13]Legend!$B$68,IF(J82=[13]Legend!$A$69, [13]Legend!$B$69, IF(J82=[13]Legend!$A$70, [13]Legend!$B$70, IF(J82=[13]Legend!$A$71, [13]Legend!$B$71, IF(J82=[13]Legend!$A$72, [13]Legend!$B$72, IF(J82=[13]Legend!$A$73, [13]Legend!$B$73, (IF(J82=[13]Legend!$A$74, [13]Legend!$B$74, IF(J82=[13]Legend!$A$75, [13]Legend!$B$75, "")))))))))))</f>
        <v>120</v>
      </c>
      <c r="L82" s="5">
        <v>123</v>
      </c>
      <c r="M82" s="5">
        <v>0</v>
      </c>
      <c r="N82" s="5"/>
      <c r="O82" s="5"/>
    </row>
    <row r="83" spans="1:15" ht="14" customHeight="1" x14ac:dyDescent="0.45">
      <c r="A83" s="7">
        <v>45588</v>
      </c>
      <c r="B83" s="5" t="s">
        <v>136</v>
      </c>
      <c r="C83" s="5" t="s">
        <v>16</v>
      </c>
      <c r="D83" s="5">
        <v>3</v>
      </c>
      <c r="E83" s="5">
        <v>5</v>
      </c>
      <c r="F83" s="5">
        <v>2</v>
      </c>
      <c r="G83" s="7">
        <v>45741</v>
      </c>
      <c r="H83" s="5" t="s">
        <v>91</v>
      </c>
      <c r="I83" s="5">
        <v>1</v>
      </c>
      <c r="J83" s="5" t="s">
        <v>60</v>
      </c>
      <c r="K83" s="6">
        <f>IF(J83=[11]Legend!$A$67,[11]Legend!$B$67,(IF(J83=[11]Legend!$A$68,[11]Legend!$B$68,IF(J83=[11]Legend!$A$69, [11]Legend!$B$69, IF(J83=[11]Legend!$A$70, [11]Legend!$B$70, IF(J83=[11]Legend!$A$71, [11]Legend!$B$71, IF(J83=[11]Legend!$A$72, [11]Legend!$B$72, IF(J83=[11]Legend!$A$73, [11]Legend!$B$73, (IF(J83=[11]Legend!$A$74, [11]Legend!$B$74, IF(J83=[11]Legend!$A$75, [11]Legend!$B$75, "")))))))))))</f>
        <v>25</v>
      </c>
      <c r="L83" s="5">
        <v>25</v>
      </c>
      <c r="M83" s="5">
        <v>0</v>
      </c>
      <c r="N83" s="5"/>
      <c r="O83" s="5"/>
    </row>
    <row r="84" spans="1:15" ht="14" customHeight="1" x14ac:dyDescent="0.45">
      <c r="A84" s="7">
        <v>45588</v>
      </c>
      <c r="B84" s="5" t="s">
        <v>136</v>
      </c>
      <c r="C84" s="5" t="s">
        <v>16</v>
      </c>
      <c r="D84" s="5">
        <v>3</v>
      </c>
      <c r="E84" s="5">
        <v>5</v>
      </c>
      <c r="F84" s="5">
        <v>2</v>
      </c>
      <c r="G84" s="7">
        <v>45741</v>
      </c>
      <c r="H84" s="5" t="s">
        <v>91</v>
      </c>
      <c r="I84" s="5">
        <v>1</v>
      </c>
      <c r="J84" s="5" t="s">
        <v>18</v>
      </c>
      <c r="K84" s="6">
        <f>IF(J84=[11]Legend!$A$67,[11]Legend!$B$67,(IF(J84=[11]Legend!$A$68,[11]Legend!$B$68,IF(J84=[11]Legend!$A$69, [11]Legend!$B$69, IF(J84=[11]Legend!$A$70, [11]Legend!$B$70, IF(J84=[11]Legend!$A$71, [11]Legend!$B$71, IF(J84=[11]Legend!$A$72, [11]Legend!$B$72, IF(J84=[11]Legend!$A$73, [11]Legend!$B$73, (IF(J84=[11]Legend!$A$74, [11]Legend!$B$74, IF(J84=[11]Legend!$A$75, [11]Legend!$B$75, "")))))))))))</f>
        <v>5</v>
      </c>
      <c r="L84" s="5">
        <v>5</v>
      </c>
      <c r="M84" s="5">
        <v>1</v>
      </c>
      <c r="N84" s="5" t="s">
        <v>30</v>
      </c>
      <c r="O84" s="5"/>
    </row>
    <row r="85" spans="1:15" ht="14" customHeight="1" x14ac:dyDescent="0.45">
      <c r="A85" s="7">
        <v>45588</v>
      </c>
      <c r="B85" s="5" t="s">
        <v>136</v>
      </c>
      <c r="C85" s="5" t="s">
        <v>16</v>
      </c>
      <c r="D85" s="5">
        <v>3</v>
      </c>
      <c r="E85" s="5">
        <v>5</v>
      </c>
      <c r="F85" s="5">
        <v>2</v>
      </c>
      <c r="G85" s="7">
        <v>45741</v>
      </c>
      <c r="H85" s="5" t="s">
        <v>91</v>
      </c>
      <c r="I85" s="5">
        <v>1</v>
      </c>
      <c r="J85" s="5" t="s">
        <v>69</v>
      </c>
      <c r="K85" s="6">
        <f>IF(J85=[11]Legend!$A$67,[11]Legend!$B$67,(IF(J85=[11]Legend!$A$68,[11]Legend!$B$68,IF(J85=[11]Legend!$A$69, [11]Legend!$B$69, IF(J85=[11]Legend!$A$70, [11]Legend!$B$70, IF(J85=[11]Legend!$A$71, [11]Legend!$B$71, IF(J85=[11]Legend!$A$72, [11]Legend!$B$72, IF(J85=[11]Legend!$A$73, [11]Legend!$B$73, (IF(J85=[11]Legend!$A$74, [11]Legend!$B$74, IF(J85=[11]Legend!$A$75, [11]Legend!$B$75, "")))))))))))</f>
        <v>120</v>
      </c>
      <c r="L85" s="5">
        <v>119</v>
      </c>
      <c r="M85" s="5">
        <v>1</v>
      </c>
      <c r="N85" s="5"/>
      <c r="O85" s="5"/>
    </row>
    <row r="86" spans="1:15" ht="14" customHeight="1" x14ac:dyDescent="0.45">
      <c r="A86" s="7">
        <v>45588</v>
      </c>
      <c r="B86" s="5" t="s">
        <v>136</v>
      </c>
      <c r="C86" s="5" t="s">
        <v>16</v>
      </c>
      <c r="D86" s="5">
        <v>3</v>
      </c>
      <c r="E86" s="5">
        <v>5</v>
      </c>
      <c r="F86" s="5">
        <v>1</v>
      </c>
      <c r="G86" s="7">
        <v>45761</v>
      </c>
      <c r="H86" s="5" t="s">
        <v>91</v>
      </c>
      <c r="I86" s="5">
        <v>1</v>
      </c>
      <c r="J86" s="5" t="s">
        <v>60</v>
      </c>
      <c r="K86" s="6">
        <f>IF(J86=[11]Legend!$A$67,[11]Legend!$B$67,(IF(J86=[11]Legend!$A$68,[11]Legend!$B$68,IF(J86=[11]Legend!$A$69, [11]Legend!$B$69, IF(J86=[11]Legend!$A$70, [11]Legend!$B$70, IF(J86=[11]Legend!$A$71, [11]Legend!$B$71, IF(J86=[11]Legend!$A$72, [11]Legend!$B$72, IF(J86=[11]Legend!$A$73, [11]Legend!$B$73, (IF(J86=[11]Legend!$A$74, [11]Legend!$B$74, IF(J86=[11]Legend!$A$75, [11]Legend!$B$75, "")))))))))))</f>
        <v>25</v>
      </c>
      <c r="L86" s="5">
        <v>25</v>
      </c>
      <c r="M86" s="5">
        <v>0</v>
      </c>
      <c r="N86" s="5"/>
      <c r="O86" s="5"/>
    </row>
    <row r="87" spans="1:15" ht="14" customHeight="1" x14ac:dyDescent="0.45">
      <c r="A87" s="7">
        <v>45588</v>
      </c>
      <c r="B87" s="5" t="s">
        <v>136</v>
      </c>
      <c r="C87" s="5" t="s">
        <v>16</v>
      </c>
      <c r="D87" s="5">
        <v>3</v>
      </c>
      <c r="E87" s="5">
        <v>5</v>
      </c>
      <c r="F87" s="5">
        <v>1</v>
      </c>
      <c r="G87" s="7">
        <v>45761</v>
      </c>
      <c r="H87" s="5" t="s">
        <v>91</v>
      </c>
      <c r="I87" s="5">
        <v>1</v>
      </c>
      <c r="J87" s="5" t="s">
        <v>18</v>
      </c>
      <c r="K87" s="6">
        <f>IF(J87=[11]Legend!$A$67,[11]Legend!$B$67,(IF(J87=[11]Legend!$A$68,[11]Legend!$B$68,IF(J87=[11]Legend!$A$69, [11]Legend!$B$69, IF(J87=[11]Legend!$A$70, [11]Legend!$B$70, IF(J87=[11]Legend!$A$71, [11]Legend!$B$71, IF(J87=[11]Legend!$A$72, [11]Legend!$B$72, IF(J87=[11]Legend!$A$73, [11]Legend!$B$73, (IF(J87=[11]Legend!$A$74, [11]Legend!$B$74, IF(J87=[11]Legend!$A$75, [11]Legend!$B$75, "")))))))))))</f>
        <v>5</v>
      </c>
      <c r="L87" s="5">
        <v>5</v>
      </c>
      <c r="M87" s="5">
        <v>1</v>
      </c>
      <c r="N87" s="5" t="s">
        <v>30</v>
      </c>
      <c r="O87" s="5"/>
    </row>
    <row r="88" spans="1:15" ht="14" customHeight="1" x14ac:dyDescent="0.45">
      <c r="A88" s="7">
        <v>45588</v>
      </c>
      <c r="B88" s="5" t="s">
        <v>136</v>
      </c>
      <c r="C88" s="5" t="s">
        <v>16</v>
      </c>
      <c r="D88" s="5">
        <v>3</v>
      </c>
      <c r="E88" s="5">
        <v>5</v>
      </c>
      <c r="F88" s="5">
        <v>1</v>
      </c>
      <c r="G88" s="7">
        <v>45761</v>
      </c>
      <c r="H88" s="5" t="s">
        <v>91</v>
      </c>
      <c r="I88" s="5">
        <v>1</v>
      </c>
      <c r="J88" s="5" t="s">
        <v>69</v>
      </c>
      <c r="K88" s="6">
        <f>IF(J88=[11]Legend!$A$67,[11]Legend!$B$67,(IF(J88=[11]Legend!$A$68,[11]Legend!$B$68,IF(J88=[11]Legend!$A$69, [11]Legend!$B$69, IF(J88=[11]Legend!$A$70, [11]Legend!$B$70, IF(J88=[11]Legend!$A$71, [11]Legend!$B$71, IF(J88=[11]Legend!$A$72, [11]Legend!$B$72, IF(J88=[11]Legend!$A$73, [11]Legend!$B$73, (IF(J88=[11]Legend!$A$74, [11]Legend!$B$74, IF(J88=[11]Legend!$A$75, [11]Legend!$B$75, "")))))))))))</f>
        <v>120</v>
      </c>
      <c r="L88" s="5">
        <v>120</v>
      </c>
      <c r="M88" s="5">
        <v>0</v>
      </c>
      <c r="N88" s="5"/>
      <c r="O88" s="5"/>
    </row>
    <row r="89" spans="1:15" ht="14" customHeight="1" x14ac:dyDescent="0.45">
      <c r="A89" s="7">
        <v>45574</v>
      </c>
      <c r="B89" s="5" t="s">
        <v>136</v>
      </c>
      <c r="C89" s="5" t="s">
        <v>90</v>
      </c>
      <c r="D89" s="5">
        <v>1</v>
      </c>
      <c r="E89" s="5">
        <v>6</v>
      </c>
      <c r="F89" s="5">
        <v>1</v>
      </c>
      <c r="G89" s="7">
        <v>45762</v>
      </c>
      <c r="H89" s="5" t="s">
        <v>91</v>
      </c>
      <c r="I89" s="5">
        <v>1</v>
      </c>
      <c r="J89" s="5" t="s">
        <v>60</v>
      </c>
      <c r="K89" s="6">
        <f>IF(J89=[13]Legend!$A$67,[13]Legend!$B$67,(IF(J89=[13]Legend!$A$68,[13]Legend!$B$68,IF(J89=[13]Legend!$A$69, [13]Legend!$B$69, IF(J89=[13]Legend!$A$70, [13]Legend!$B$70, IF(J89=[13]Legend!$A$71, [13]Legend!$B$71, IF(J89=[13]Legend!$A$72, [13]Legend!$B$72, IF(J89=[13]Legend!$A$73, [13]Legend!$B$73, (IF(J89=[13]Legend!$A$74, [13]Legend!$B$74, IF(J89=[13]Legend!$A$75, [13]Legend!$B$75, "")))))))))))</f>
        <v>25</v>
      </c>
      <c r="L89" s="5">
        <v>24</v>
      </c>
      <c r="M89" s="5">
        <v>1</v>
      </c>
      <c r="N89" s="5" t="s">
        <v>30</v>
      </c>
      <c r="O89" s="5"/>
    </row>
    <row r="90" spans="1:15" ht="14" customHeight="1" x14ac:dyDescent="0.45">
      <c r="A90" s="7">
        <v>45574</v>
      </c>
      <c r="B90" s="5" t="s">
        <v>136</v>
      </c>
      <c r="C90" s="5" t="s">
        <v>90</v>
      </c>
      <c r="D90" s="5">
        <v>1</v>
      </c>
      <c r="E90" s="5">
        <v>6</v>
      </c>
      <c r="F90" s="5">
        <v>1</v>
      </c>
      <c r="G90" s="7">
        <v>45762</v>
      </c>
      <c r="H90" s="5" t="s">
        <v>91</v>
      </c>
      <c r="I90" s="5">
        <v>1</v>
      </c>
      <c r="J90" s="5" t="s">
        <v>18</v>
      </c>
      <c r="K90" s="6">
        <f>IF(J90=[13]Legend!$A$67,[13]Legend!$B$67,(IF(J90=[13]Legend!$A$68,[13]Legend!$B$68,IF(J90=[13]Legend!$A$69, [13]Legend!$B$69, IF(J90=[13]Legend!$A$70, [13]Legend!$B$70, IF(J90=[13]Legend!$A$71, [13]Legend!$B$71, IF(J90=[13]Legend!$A$72, [13]Legend!$B$72, IF(J90=[13]Legend!$A$73, [13]Legend!$B$73, (IF(J90=[13]Legend!$A$74, [13]Legend!$B$74, IF(J90=[13]Legend!$A$75, [13]Legend!$B$75, "")))))))))))</f>
        <v>5</v>
      </c>
      <c r="L90" s="5">
        <v>0</v>
      </c>
      <c r="M90" s="5">
        <v>0</v>
      </c>
      <c r="N90" s="5"/>
      <c r="O90" s="5"/>
    </row>
    <row r="91" spans="1:15" ht="14" customHeight="1" x14ac:dyDescent="0.45">
      <c r="A91" s="7">
        <v>45574</v>
      </c>
      <c r="B91" s="5" t="s">
        <v>136</v>
      </c>
      <c r="C91" s="5" t="s">
        <v>90</v>
      </c>
      <c r="D91" s="5">
        <v>1</v>
      </c>
      <c r="E91" s="5">
        <v>6</v>
      </c>
      <c r="F91" s="5">
        <v>1</v>
      </c>
      <c r="G91" s="7">
        <v>45762</v>
      </c>
      <c r="H91" s="5" t="s">
        <v>91</v>
      </c>
      <c r="I91" s="5">
        <v>1</v>
      </c>
      <c r="J91" s="5" t="s">
        <v>69</v>
      </c>
      <c r="K91" s="6">
        <f>IF(J91=[13]Legend!$A$67,[13]Legend!$B$67,(IF(J91=[13]Legend!$A$68,[13]Legend!$B$68,IF(J91=[13]Legend!$A$69, [13]Legend!$B$69, IF(J91=[13]Legend!$A$70, [13]Legend!$B$70, IF(J91=[13]Legend!$A$71, [13]Legend!$B$71, IF(J91=[13]Legend!$A$72, [13]Legend!$B$72, IF(J91=[13]Legend!$A$73, [13]Legend!$B$73, (IF(J91=[13]Legend!$A$74, [13]Legend!$B$74, IF(J91=[13]Legend!$A$75, [13]Legend!$B$75, "")))))))))))</f>
        <v>120</v>
      </c>
      <c r="L91" s="5">
        <v>15</v>
      </c>
      <c r="M91" s="5">
        <v>0</v>
      </c>
      <c r="N91" s="5"/>
      <c r="O91" s="5"/>
    </row>
    <row r="92" spans="1:15" ht="14" customHeight="1" x14ac:dyDescent="0.45">
      <c r="A92" s="7">
        <v>45574</v>
      </c>
      <c r="B92" s="5" t="s">
        <v>136</v>
      </c>
      <c r="C92" s="5" t="s">
        <v>90</v>
      </c>
      <c r="D92" s="5">
        <v>1</v>
      </c>
      <c r="E92" s="5">
        <v>6</v>
      </c>
      <c r="F92" s="5">
        <v>2</v>
      </c>
      <c r="G92" s="7">
        <v>45775</v>
      </c>
      <c r="H92" s="5" t="s">
        <v>91</v>
      </c>
      <c r="I92" s="5">
        <v>1</v>
      </c>
      <c r="J92" s="5" t="s">
        <v>60</v>
      </c>
      <c r="K92" s="6">
        <f>IF(J92=[13]Legend!$A$67,[13]Legend!$B$67,(IF(J92=[13]Legend!$A$68,[13]Legend!$B$68,IF(J92=[13]Legend!$A$69, [13]Legend!$B$69, IF(J92=[13]Legend!$A$70, [13]Legend!$B$70, IF(J92=[13]Legend!$A$71, [13]Legend!$B$71, IF(J92=[13]Legend!$A$72, [13]Legend!$B$72, IF(J92=[13]Legend!$A$73, [13]Legend!$B$73, (IF(J92=[13]Legend!$A$74, [13]Legend!$B$74, IF(J92=[13]Legend!$A$75, [13]Legend!$B$75, "")))))))))))</f>
        <v>25</v>
      </c>
      <c r="L92" s="5">
        <v>25</v>
      </c>
      <c r="M92" s="5">
        <v>1</v>
      </c>
      <c r="N92" s="5" t="s">
        <v>21</v>
      </c>
      <c r="O92" s="5"/>
    </row>
    <row r="93" spans="1:15" ht="14" customHeight="1" x14ac:dyDescent="0.45">
      <c r="A93" s="7">
        <v>45574</v>
      </c>
      <c r="B93" s="5" t="s">
        <v>136</v>
      </c>
      <c r="C93" s="5" t="s">
        <v>90</v>
      </c>
      <c r="D93" s="5">
        <v>1</v>
      </c>
      <c r="E93" s="5">
        <v>6</v>
      </c>
      <c r="F93" s="5">
        <v>2</v>
      </c>
      <c r="G93" s="7">
        <v>45775</v>
      </c>
      <c r="H93" s="5" t="s">
        <v>91</v>
      </c>
      <c r="I93" s="5">
        <v>1</v>
      </c>
      <c r="J93" s="5" t="s">
        <v>18</v>
      </c>
      <c r="K93" s="6">
        <f>IF(J93=[13]Legend!$A$67,[13]Legend!$B$67,(IF(J93=[13]Legend!$A$68,[13]Legend!$B$68,IF(J93=[13]Legend!$A$69, [13]Legend!$B$69, IF(J93=[13]Legend!$A$70, [13]Legend!$B$70, IF(J93=[13]Legend!$A$71, [13]Legend!$B$71, IF(J93=[13]Legend!$A$72, [13]Legend!$B$72, IF(J93=[13]Legend!$A$73, [13]Legend!$B$73, (IF(J93=[13]Legend!$A$74, [13]Legend!$B$74, IF(J93=[13]Legend!$A$75, [13]Legend!$B$75, "")))))))))))</f>
        <v>5</v>
      </c>
      <c r="L93" s="5">
        <v>5</v>
      </c>
      <c r="M93" s="5">
        <v>1</v>
      </c>
      <c r="N93" s="5" t="s">
        <v>30</v>
      </c>
      <c r="O93" s="5"/>
    </row>
    <row r="94" spans="1:15" ht="14" customHeight="1" x14ac:dyDescent="0.45">
      <c r="A94" s="7">
        <v>45574</v>
      </c>
      <c r="B94" s="5" t="s">
        <v>136</v>
      </c>
      <c r="C94" s="5" t="s">
        <v>90</v>
      </c>
      <c r="D94" s="5">
        <v>1</v>
      </c>
      <c r="E94" s="5">
        <v>6</v>
      </c>
      <c r="F94" s="5">
        <v>2</v>
      </c>
      <c r="G94" s="7">
        <v>45775</v>
      </c>
      <c r="H94" s="5" t="s">
        <v>91</v>
      </c>
      <c r="I94" s="5">
        <v>1</v>
      </c>
      <c r="J94" s="5" t="s">
        <v>69</v>
      </c>
      <c r="K94" s="6">
        <f>IF(J94=[13]Legend!$A$67,[13]Legend!$B$67,(IF(J94=[13]Legend!$A$68,[13]Legend!$B$68,IF(J94=[13]Legend!$A$69, [13]Legend!$B$69, IF(J94=[13]Legend!$A$70, [13]Legend!$B$70, IF(J94=[13]Legend!$A$71, [13]Legend!$B$71, IF(J94=[13]Legend!$A$72, [13]Legend!$B$72, IF(J94=[13]Legend!$A$73, [13]Legend!$B$73, (IF(J94=[13]Legend!$A$74, [13]Legend!$B$74, IF(J94=[13]Legend!$A$75, [13]Legend!$B$75, "")))))))))))</f>
        <v>120</v>
      </c>
      <c r="L94" s="5">
        <v>121</v>
      </c>
      <c r="M94" s="5">
        <v>1</v>
      </c>
      <c r="N94" s="5" t="s">
        <v>30</v>
      </c>
      <c r="O94" s="5"/>
    </row>
    <row r="95" spans="1:15" ht="14" customHeight="1" x14ac:dyDescent="0.45">
      <c r="A95" s="7">
        <v>45581</v>
      </c>
      <c r="B95" s="5" t="s">
        <v>136</v>
      </c>
      <c r="C95" s="5" t="s">
        <v>90</v>
      </c>
      <c r="D95" s="20">
        <v>2</v>
      </c>
      <c r="E95" s="5">
        <v>6</v>
      </c>
      <c r="F95" s="5">
        <v>2</v>
      </c>
      <c r="G95" s="7">
        <v>45775</v>
      </c>
      <c r="H95" s="5" t="s">
        <v>91</v>
      </c>
      <c r="I95" s="5">
        <v>1</v>
      </c>
      <c r="J95" s="5" t="s">
        <v>60</v>
      </c>
      <c r="K95" s="6">
        <f>IF(J95=[13]Legend!$A$67,[13]Legend!$B$67,(IF(J95=[13]Legend!$A$68,[13]Legend!$B$68,IF(J95=[13]Legend!$A$69, [13]Legend!$B$69, IF(J95=[13]Legend!$A$70, [13]Legend!$B$70, IF(J95=[13]Legend!$A$71, [13]Legend!$B$71, IF(J95=[13]Legend!$A$72, [13]Legend!$B$72, IF(J95=[13]Legend!$A$73, [13]Legend!$B$73, (IF(J95=[13]Legend!$A$74, [13]Legend!$B$74, IF(J95=[13]Legend!$A$75, [13]Legend!$B$75, "")))))))))))</f>
        <v>25</v>
      </c>
      <c r="L95" s="5">
        <v>25</v>
      </c>
      <c r="M95" s="5">
        <v>1</v>
      </c>
      <c r="N95" s="5" t="s">
        <v>21</v>
      </c>
      <c r="O95" s="5"/>
    </row>
    <row r="96" spans="1:15" ht="14" customHeight="1" x14ac:dyDescent="0.45">
      <c r="A96" s="7">
        <v>45581</v>
      </c>
      <c r="B96" s="5" t="s">
        <v>136</v>
      </c>
      <c r="C96" s="5" t="s">
        <v>90</v>
      </c>
      <c r="D96" s="20">
        <v>2</v>
      </c>
      <c r="E96" s="5">
        <v>6</v>
      </c>
      <c r="F96" s="5">
        <v>2</v>
      </c>
      <c r="G96" s="7">
        <v>45775</v>
      </c>
      <c r="H96" s="5" t="s">
        <v>91</v>
      </c>
      <c r="I96" s="5">
        <v>1</v>
      </c>
      <c r="J96" s="5" t="s">
        <v>18</v>
      </c>
      <c r="K96" s="6">
        <f>IF(J96=[13]Legend!$A$67,[13]Legend!$B$67,(IF(J96=[13]Legend!$A$68,[13]Legend!$B$68,IF(J96=[13]Legend!$A$69, [13]Legend!$B$69, IF(J96=[13]Legend!$A$70, [13]Legend!$B$70, IF(J96=[13]Legend!$A$71, [13]Legend!$B$71, IF(J96=[13]Legend!$A$72, [13]Legend!$B$72, IF(J96=[13]Legend!$A$73, [13]Legend!$B$73, (IF(J96=[13]Legend!$A$74, [13]Legend!$B$74, IF(J96=[13]Legend!$A$75, [13]Legend!$B$75, "")))))))))))</f>
        <v>5</v>
      </c>
      <c r="L96" s="5">
        <v>5</v>
      </c>
      <c r="M96" s="5">
        <v>0</v>
      </c>
      <c r="N96" s="5"/>
      <c r="O96" s="5"/>
    </row>
    <row r="97" spans="1:15" ht="14" customHeight="1" x14ac:dyDescent="0.45">
      <c r="A97" s="7">
        <v>45581</v>
      </c>
      <c r="B97" s="5" t="s">
        <v>136</v>
      </c>
      <c r="C97" s="5" t="s">
        <v>90</v>
      </c>
      <c r="D97" s="20">
        <v>2</v>
      </c>
      <c r="E97" s="5">
        <v>6</v>
      </c>
      <c r="F97" s="5">
        <v>2</v>
      </c>
      <c r="G97" s="7">
        <v>45775</v>
      </c>
      <c r="H97" s="5" t="s">
        <v>91</v>
      </c>
      <c r="I97" s="5">
        <v>1</v>
      </c>
      <c r="J97" s="5" t="s">
        <v>69</v>
      </c>
      <c r="K97" s="6">
        <f>IF(J97=[13]Legend!$A$67,[13]Legend!$B$67,(IF(J97=[13]Legend!$A$68,[13]Legend!$B$68,IF(J97=[13]Legend!$A$69, [13]Legend!$B$69, IF(J97=[13]Legend!$A$70, [13]Legend!$B$70, IF(J97=[13]Legend!$A$71, [13]Legend!$B$71, IF(J97=[13]Legend!$A$72, [13]Legend!$B$72, IF(J97=[13]Legend!$A$73, [13]Legend!$B$73, (IF(J97=[13]Legend!$A$74, [13]Legend!$B$74, IF(J97=[13]Legend!$A$75, [13]Legend!$B$75, "")))))))))))</f>
        <v>120</v>
      </c>
      <c r="L97" s="5">
        <v>121</v>
      </c>
      <c r="M97" s="5">
        <v>0</v>
      </c>
      <c r="N97" s="5"/>
      <c r="O97" s="5"/>
    </row>
    <row r="98" spans="1:15" ht="14" customHeight="1" x14ac:dyDescent="0.45">
      <c r="A98" s="7">
        <v>45581</v>
      </c>
      <c r="B98" s="5" t="s">
        <v>136</v>
      </c>
      <c r="C98" s="5" t="s">
        <v>124</v>
      </c>
      <c r="D98" s="5">
        <v>2</v>
      </c>
      <c r="E98" s="5">
        <v>6</v>
      </c>
      <c r="F98" s="5">
        <v>1</v>
      </c>
      <c r="G98" s="7">
        <v>45782</v>
      </c>
      <c r="H98" s="5" t="s">
        <v>91</v>
      </c>
      <c r="I98" s="5">
        <v>1</v>
      </c>
      <c r="J98" s="5" t="s">
        <v>60</v>
      </c>
      <c r="K98" s="6">
        <f>IF(J98=[13]Legend!$A$67,[13]Legend!$B$67,(IF(J98=[13]Legend!$A$68,[13]Legend!$B$68,IF(J98=[13]Legend!$A$69, [13]Legend!$B$69, IF(J98=[13]Legend!$A$70, [13]Legend!$B$70, IF(J98=[13]Legend!$A$71, [13]Legend!$B$71, IF(J98=[13]Legend!$A$72, [13]Legend!$B$72, IF(J98=[13]Legend!$A$73, [13]Legend!$B$73, (IF(J98=[13]Legend!$A$74, [13]Legend!$B$74, IF(J98=[13]Legend!$A$75, [13]Legend!$B$75, "")))))))))))</f>
        <v>25</v>
      </c>
      <c r="L98" s="5">
        <v>25</v>
      </c>
      <c r="M98" s="5">
        <v>0</v>
      </c>
      <c r="N98" s="5"/>
      <c r="O98" s="5"/>
    </row>
    <row r="99" spans="1:15" ht="14" customHeight="1" x14ac:dyDescent="0.45">
      <c r="A99" s="7">
        <v>45581</v>
      </c>
      <c r="B99" s="5" t="s">
        <v>136</v>
      </c>
      <c r="C99" s="5" t="s">
        <v>124</v>
      </c>
      <c r="D99" s="5">
        <v>2</v>
      </c>
      <c r="E99" s="5">
        <v>6</v>
      </c>
      <c r="F99" s="5">
        <v>1</v>
      </c>
      <c r="G99" s="7">
        <v>45782</v>
      </c>
      <c r="H99" s="5" t="s">
        <v>91</v>
      </c>
      <c r="I99" s="5">
        <v>1</v>
      </c>
      <c r="J99" s="5" t="s">
        <v>18</v>
      </c>
      <c r="K99" s="6">
        <f>IF(J99=[13]Legend!$A$67,[13]Legend!$B$67,(IF(J99=[13]Legend!$A$68,[13]Legend!$B$68,IF(J99=[13]Legend!$A$69, [13]Legend!$B$69, IF(J99=[13]Legend!$A$70, [13]Legend!$B$70, IF(J99=[13]Legend!$A$71, [13]Legend!$B$71, IF(J99=[13]Legend!$A$72, [13]Legend!$B$72, IF(J99=[13]Legend!$A$73, [13]Legend!$B$73, (IF(J99=[13]Legend!$A$74, [13]Legend!$B$74, IF(J99=[13]Legend!$A$75, [13]Legend!$B$75, "")))))))))))</f>
        <v>5</v>
      </c>
      <c r="L99" s="5">
        <v>0</v>
      </c>
      <c r="M99" s="5">
        <v>0</v>
      </c>
      <c r="N99" s="5"/>
      <c r="O99" s="5"/>
    </row>
    <row r="100" spans="1:15" ht="14" customHeight="1" x14ac:dyDescent="0.45">
      <c r="A100" s="7">
        <v>45581</v>
      </c>
      <c r="B100" s="5" t="s">
        <v>136</v>
      </c>
      <c r="C100" s="5" t="s">
        <v>124</v>
      </c>
      <c r="D100" s="5">
        <v>2</v>
      </c>
      <c r="E100" s="5">
        <v>6</v>
      </c>
      <c r="F100" s="5">
        <v>1</v>
      </c>
      <c r="G100" s="7">
        <v>45782</v>
      </c>
      <c r="H100" s="5" t="s">
        <v>91</v>
      </c>
      <c r="I100" s="5">
        <v>1</v>
      </c>
      <c r="J100" s="5" t="s">
        <v>69</v>
      </c>
      <c r="K100" s="6">
        <f>IF(J100=[13]Legend!$A$67,[13]Legend!$B$67,(IF(J100=[13]Legend!$A$68,[13]Legend!$B$68,IF(J100=[13]Legend!$A$69, [13]Legend!$B$69, IF(J100=[13]Legend!$A$70, [13]Legend!$B$70, IF(J100=[13]Legend!$A$71, [13]Legend!$B$71, IF(J100=[13]Legend!$A$72, [13]Legend!$B$72, IF(J100=[13]Legend!$A$73, [13]Legend!$B$73, (IF(J100=[13]Legend!$A$74, [13]Legend!$B$74, IF(J100=[13]Legend!$A$75, [13]Legend!$B$75, "")))))))))))</f>
        <v>120</v>
      </c>
      <c r="L100" s="5">
        <v>20</v>
      </c>
      <c r="M100" s="5">
        <v>0</v>
      </c>
      <c r="N100" s="5"/>
      <c r="O100" s="5" t="s">
        <v>160</v>
      </c>
    </row>
    <row r="101" spans="1:15" ht="14" customHeight="1" x14ac:dyDescent="0.45">
      <c r="A101" s="7">
        <v>45588</v>
      </c>
      <c r="B101" s="5" t="s">
        <v>136</v>
      </c>
      <c r="C101" s="5" t="s">
        <v>16</v>
      </c>
      <c r="D101" s="5">
        <v>3</v>
      </c>
      <c r="E101" s="5">
        <v>6</v>
      </c>
      <c r="F101" s="5">
        <v>2</v>
      </c>
      <c r="G101" s="7">
        <v>45741</v>
      </c>
      <c r="H101" s="5" t="s">
        <v>91</v>
      </c>
      <c r="I101" s="5">
        <v>1</v>
      </c>
      <c r="J101" s="5" t="s">
        <v>60</v>
      </c>
      <c r="K101" s="6">
        <f>IF(J101=[11]Legend!$A$67,[11]Legend!$B$67,(IF(J101=[11]Legend!$A$68,[11]Legend!$B$68,IF(J101=[11]Legend!$A$69, [11]Legend!$B$69, IF(J101=[11]Legend!$A$70, [11]Legend!$B$70, IF(J101=[11]Legend!$A$71, [11]Legend!$B$71, IF(J101=[11]Legend!$A$72, [11]Legend!$B$72, IF(J101=[11]Legend!$A$73, [11]Legend!$B$73, (IF(J101=[11]Legend!$A$74, [11]Legend!$B$74, IF(J101=[11]Legend!$A$75, [11]Legend!$B$75, "")))))))))))</f>
        <v>25</v>
      </c>
      <c r="L101" s="5">
        <v>25</v>
      </c>
      <c r="M101" s="5">
        <v>0</v>
      </c>
      <c r="N101" s="5"/>
      <c r="O101" s="5"/>
    </row>
    <row r="102" spans="1:15" ht="14" customHeight="1" x14ac:dyDescent="0.45">
      <c r="A102" s="7">
        <v>45588</v>
      </c>
      <c r="B102" s="5" t="s">
        <v>136</v>
      </c>
      <c r="C102" s="5" t="s">
        <v>16</v>
      </c>
      <c r="D102" s="5">
        <v>3</v>
      </c>
      <c r="E102" s="5">
        <v>6</v>
      </c>
      <c r="F102" s="5">
        <v>2</v>
      </c>
      <c r="G102" s="7">
        <v>45741</v>
      </c>
      <c r="H102" s="5" t="s">
        <v>91</v>
      </c>
      <c r="I102" s="5">
        <v>1</v>
      </c>
      <c r="J102" s="5" t="s">
        <v>18</v>
      </c>
      <c r="K102" s="6">
        <f>IF(J102=[11]Legend!$A$67,[11]Legend!$B$67,(IF(J102=[11]Legend!$A$68,[11]Legend!$B$68,IF(J102=[11]Legend!$A$69, [11]Legend!$B$69, IF(J102=[11]Legend!$A$70, [11]Legend!$B$70, IF(J102=[11]Legend!$A$71, [11]Legend!$B$71, IF(J102=[11]Legend!$A$72, [11]Legend!$B$72, IF(J102=[11]Legend!$A$73, [11]Legend!$B$73, (IF(J102=[11]Legend!$A$74, [11]Legend!$B$74, IF(J102=[11]Legend!$A$75, [11]Legend!$B$75, "")))))))))))</f>
        <v>5</v>
      </c>
      <c r="L102" s="5">
        <v>5</v>
      </c>
      <c r="M102" s="5">
        <v>0</v>
      </c>
      <c r="N102" s="5"/>
      <c r="O102" s="5"/>
    </row>
    <row r="103" spans="1:15" ht="14" customHeight="1" x14ac:dyDescent="0.45">
      <c r="A103" s="7">
        <v>45588</v>
      </c>
      <c r="B103" s="5" t="s">
        <v>136</v>
      </c>
      <c r="C103" s="5" t="s">
        <v>16</v>
      </c>
      <c r="D103" s="5">
        <v>3</v>
      </c>
      <c r="E103" s="5">
        <v>6</v>
      </c>
      <c r="F103" s="5">
        <v>2</v>
      </c>
      <c r="G103" s="7">
        <v>45741</v>
      </c>
      <c r="H103" s="5" t="s">
        <v>91</v>
      </c>
      <c r="I103" s="5">
        <v>1</v>
      </c>
      <c r="J103" s="5" t="s">
        <v>69</v>
      </c>
      <c r="K103" s="6">
        <f>IF(J103=[11]Legend!$A$67,[11]Legend!$B$67,(IF(J103=[11]Legend!$A$68,[11]Legend!$B$68,IF(J103=[11]Legend!$A$69, [11]Legend!$B$69, IF(J103=[11]Legend!$A$70, [11]Legend!$B$70, IF(J103=[11]Legend!$A$71, [11]Legend!$B$71, IF(J103=[11]Legend!$A$72, [11]Legend!$B$72, IF(J103=[11]Legend!$A$73, [11]Legend!$B$73, (IF(J103=[11]Legend!$A$74, [11]Legend!$B$74, IF(J103=[11]Legend!$A$75, [11]Legend!$B$75, "")))))))))))</f>
        <v>120</v>
      </c>
      <c r="L103" s="5">
        <v>120</v>
      </c>
      <c r="M103" s="5">
        <v>0</v>
      </c>
      <c r="N103" s="5"/>
      <c r="O103" s="5"/>
    </row>
    <row r="104" spans="1:15" ht="14" customHeight="1" x14ac:dyDescent="0.45">
      <c r="A104" s="7">
        <v>45588</v>
      </c>
      <c r="B104" s="5" t="s">
        <v>136</v>
      </c>
      <c r="C104" s="5" t="s">
        <v>16</v>
      </c>
      <c r="D104" s="5">
        <v>3</v>
      </c>
      <c r="E104" s="5">
        <v>6</v>
      </c>
      <c r="F104" s="5">
        <v>1</v>
      </c>
      <c r="G104" s="7">
        <v>45761</v>
      </c>
      <c r="H104" s="5" t="s">
        <v>91</v>
      </c>
      <c r="I104" s="5">
        <v>1</v>
      </c>
      <c r="J104" s="5" t="s">
        <v>60</v>
      </c>
      <c r="K104" s="6">
        <f>IF(J104=[11]Legend!$A$67,[11]Legend!$B$67,(IF(J104=[11]Legend!$A$68,[11]Legend!$B$68,IF(J104=[11]Legend!$A$69, [11]Legend!$B$69, IF(J104=[11]Legend!$A$70, [11]Legend!$B$70, IF(J104=[11]Legend!$A$71, [11]Legend!$B$71, IF(J104=[11]Legend!$A$72, [11]Legend!$B$72, IF(J104=[11]Legend!$A$73, [11]Legend!$B$73, (IF(J104=[11]Legend!$A$74, [11]Legend!$B$74, IF(J104=[11]Legend!$A$75, [11]Legend!$B$75, "")))))))))))</f>
        <v>25</v>
      </c>
      <c r="L104" s="5">
        <v>24</v>
      </c>
      <c r="M104" s="5">
        <v>0</v>
      </c>
      <c r="N104" s="5"/>
      <c r="O104" s="5" t="s">
        <v>148</v>
      </c>
    </row>
    <row r="105" spans="1:15" ht="14" customHeight="1" x14ac:dyDescent="0.45">
      <c r="A105" s="7">
        <v>45588</v>
      </c>
      <c r="B105" s="5" t="s">
        <v>136</v>
      </c>
      <c r="C105" s="5" t="s">
        <v>16</v>
      </c>
      <c r="D105" s="5">
        <v>3</v>
      </c>
      <c r="E105" s="5">
        <v>6</v>
      </c>
      <c r="F105" s="5">
        <v>1</v>
      </c>
      <c r="G105" s="7">
        <v>45761</v>
      </c>
      <c r="H105" s="5" t="s">
        <v>91</v>
      </c>
      <c r="I105" s="5">
        <v>1</v>
      </c>
      <c r="J105" s="5" t="s">
        <v>18</v>
      </c>
      <c r="K105" s="6">
        <f>IF(J105=[11]Legend!$A$67,[11]Legend!$B$67,(IF(J105=[11]Legend!$A$68,[11]Legend!$B$68,IF(J105=[11]Legend!$A$69, [11]Legend!$B$69, IF(J105=[11]Legend!$A$70, [11]Legend!$B$70, IF(J105=[11]Legend!$A$71, [11]Legend!$B$71, IF(J105=[11]Legend!$A$72, [11]Legend!$B$72, IF(J105=[11]Legend!$A$73, [11]Legend!$B$73, (IF(J105=[11]Legend!$A$74, [11]Legend!$B$74, IF(J105=[11]Legend!$A$75, [11]Legend!$B$75, "")))))))))))</f>
        <v>5</v>
      </c>
      <c r="L105" s="5">
        <v>0</v>
      </c>
      <c r="M105" s="5">
        <v>0</v>
      </c>
      <c r="N105" s="5"/>
      <c r="O105" s="5" t="s">
        <v>148</v>
      </c>
    </row>
    <row r="106" spans="1:15" ht="14" customHeight="1" x14ac:dyDescent="0.45">
      <c r="A106" s="7">
        <v>45588</v>
      </c>
      <c r="B106" s="5" t="s">
        <v>136</v>
      </c>
      <c r="C106" s="5" t="s">
        <v>16</v>
      </c>
      <c r="D106" s="5">
        <v>3</v>
      </c>
      <c r="E106" s="5">
        <v>6</v>
      </c>
      <c r="F106" s="5">
        <v>1</v>
      </c>
      <c r="G106" s="7">
        <v>45761</v>
      </c>
      <c r="H106" s="5" t="s">
        <v>91</v>
      </c>
      <c r="I106" s="5">
        <v>1</v>
      </c>
      <c r="J106" s="5" t="s">
        <v>69</v>
      </c>
      <c r="K106" s="6">
        <f>IF(J106=[11]Legend!$A$67,[11]Legend!$B$67,(IF(J106=[11]Legend!$A$68,[11]Legend!$B$68,IF(J106=[11]Legend!$A$69, [11]Legend!$B$69, IF(J106=[11]Legend!$A$70, [11]Legend!$B$70, IF(J106=[11]Legend!$A$71, [11]Legend!$B$71, IF(J106=[11]Legend!$A$72, [11]Legend!$B$72, IF(J106=[11]Legend!$A$73, [11]Legend!$B$73, (IF(J106=[11]Legend!$A$74, [11]Legend!$B$74, IF(J106=[11]Legend!$A$75, [11]Legend!$B$75, "")))))))))))</f>
        <v>120</v>
      </c>
      <c r="L106" s="5">
        <v>11</v>
      </c>
      <c r="M106" s="5">
        <v>3</v>
      </c>
      <c r="N106" s="5" t="s">
        <v>30</v>
      </c>
      <c r="O106" s="5" t="s">
        <v>149</v>
      </c>
    </row>
    <row r="107" spans="1:15" ht="14" customHeight="1" x14ac:dyDescent="0.45">
      <c r="A107" s="7">
        <v>45574</v>
      </c>
      <c r="B107" s="5" t="s">
        <v>136</v>
      </c>
      <c r="C107" s="5" t="s">
        <v>90</v>
      </c>
      <c r="D107" s="5">
        <v>1</v>
      </c>
      <c r="E107" s="5">
        <v>7</v>
      </c>
      <c r="F107" s="5">
        <v>2</v>
      </c>
      <c r="G107" s="7">
        <v>45769</v>
      </c>
      <c r="H107" s="5" t="s">
        <v>91</v>
      </c>
      <c r="I107" s="5">
        <v>1</v>
      </c>
      <c r="J107" s="5" t="s">
        <v>60</v>
      </c>
      <c r="K107" s="6">
        <f>IF(J107=[13]Legend!$A$67,[13]Legend!$B$67,(IF(J107=[13]Legend!$A$68,[13]Legend!$B$68,IF(J107=[13]Legend!$A$69, [13]Legend!$B$69, IF(J107=[13]Legend!$A$70, [13]Legend!$B$70, IF(J107=[13]Legend!$A$71, [13]Legend!$B$71, IF(J107=[13]Legend!$A$72, [13]Legend!$B$72, IF(J107=[13]Legend!$A$73, [13]Legend!$B$73, (IF(J107=[13]Legend!$A$74, [13]Legend!$B$74, IF(J107=[13]Legend!$A$75, [13]Legend!$B$75, "")))))))))))</f>
        <v>25</v>
      </c>
      <c r="L107" s="5">
        <v>25</v>
      </c>
      <c r="M107" s="5">
        <v>0</v>
      </c>
      <c r="N107" s="5"/>
      <c r="O107" s="5"/>
    </row>
    <row r="108" spans="1:15" ht="14" customHeight="1" x14ac:dyDescent="0.45">
      <c r="A108" s="7">
        <v>45574</v>
      </c>
      <c r="B108" s="5" t="s">
        <v>136</v>
      </c>
      <c r="C108" s="5" t="s">
        <v>90</v>
      </c>
      <c r="D108" s="5">
        <v>1</v>
      </c>
      <c r="E108" s="5">
        <v>7</v>
      </c>
      <c r="F108" s="5">
        <v>2</v>
      </c>
      <c r="G108" s="7">
        <v>45769</v>
      </c>
      <c r="H108" s="5" t="s">
        <v>91</v>
      </c>
      <c r="I108" s="5">
        <v>1</v>
      </c>
      <c r="J108" s="5" t="s">
        <v>18</v>
      </c>
      <c r="K108" s="6">
        <f>IF(J108=[13]Legend!$A$67,[13]Legend!$B$67,(IF(J108=[13]Legend!$A$68,[13]Legend!$B$68,IF(J108=[13]Legend!$A$69, [13]Legend!$B$69, IF(J108=[13]Legend!$A$70, [13]Legend!$B$70, IF(J108=[13]Legend!$A$71, [13]Legend!$B$71, IF(J108=[13]Legend!$A$72, [13]Legend!$B$72, IF(J108=[13]Legend!$A$73, [13]Legend!$B$73, (IF(J108=[13]Legend!$A$74, [13]Legend!$B$74, IF(J108=[13]Legend!$A$75, [13]Legend!$B$75, "")))))))))))</f>
        <v>5</v>
      </c>
      <c r="L108" s="5">
        <v>5</v>
      </c>
      <c r="M108" s="5">
        <v>0</v>
      </c>
      <c r="N108" s="5"/>
      <c r="O108" s="5"/>
    </row>
    <row r="109" spans="1:15" ht="14" customHeight="1" x14ac:dyDescent="0.45">
      <c r="A109" s="7">
        <v>45574</v>
      </c>
      <c r="B109" s="5" t="s">
        <v>136</v>
      </c>
      <c r="C109" s="5" t="s">
        <v>90</v>
      </c>
      <c r="D109" s="5">
        <v>1</v>
      </c>
      <c r="E109" s="5">
        <v>7</v>
      </c>
      <c r="F109" s="5">
        <v>2</v>
      </c>
      <c r="G109" s="7">
        <v>45769</v>
      </c>
      <c r="H109" s="5" t="s">
        <v>91</v>
      </c>
      <c r="I109" s="5">
        <v>1</v>
      </c>
      <c r="J109" s="5" t="s">
        <v>69</v>
      </c>
      <c r="K109" s="6">
        <f>IF(J109=[13]Legend!$A$67,[13]Legend!$B$67,(IF(J109=[13]Legend!$A$68,[13]Legend!$B$68,IF(J109=[13]Legend!$A$69, [13]Legend!$B$69, IF(J109=[13]Legend!$A$70, [13]Legend!$B$70, IF(J109=[13]Legend!$A$71, [13]Legend!$B$71, IF(J109=[13]Legend!$A$72, [13]Legend!$B$72, IF(J109=[13]Legend!$A$73, [13]Legend!$B$73, (IF(J109=[13]Legend!$A$74, [13]Legend!$B$74, IF(J109=[13]Legend!$A$75, [13]Legend!$B$75, "")))))))))))</f>
        <v>120</v>
      </c>
      <c r="L109" s="5">
        <v>119</v>
      </c>
      <c r="M109" s="5">
        <v>0</v>
      </c>
      <c r="N109" s="5"/>
      <c r="O109" s="5"/>
    </row>
    <row r="110" spans="1:15" ht="14" customHeight="1" x14ac:dyDescent="0.45">
      <c r="A110" s="7">
        <v>45581</v>
      </c>
      <c r="B110" s="5" t="s">
        <v>136</v>
      </c>
      <c r="C110" s="5" t="s">
        <v>16</v>
      </c>
      <c r="D110" s="25">
        <v>2</v>
      </c>
      <c r="E110" s="5">
        <v>7</v>
      </c>
      <c r="F110" s="5">
        <v>1</v>
      </c>
      <c r="G110" s="7">
        <v>45734</v>
      </c>
      <c r="H110" s="5" t="s">
        <v>91</v>
      </c>
      <c r="I110" s="5">
        <v>1</v>
      </c>
      <c r="J110" s="5" t="s">
        <v>60</v>
      </c>
      <c r="K110" s="6">
        <f>IF(J110=[9]Legend!$A$67,[9]Legend!$B$67,(IF(J110=[9]Legend!$A$68,[9]Legend!$B$68,IF(J110=[9]Legend!$A$69, [9]Legend!$B$69, IF(J110=[9]Legend!$A$70, [9]Legend!$B$70, IF(J110=[9]Legend!$A$71, [9]Legend!$B$71, IF(J110=[9]Legend!$A$72, [9]Legend!$B$72, IF(J110=[9]Legend!$A$73, [9]Legend!$B$73, (IF(J110=[9]Legend!$A$74, [9]Legend!$B$74, IF(J110=[9]Legend!$A$75, [9]Legend!$B$75, "")))))))))))</f>
        <v>25</v>
      </c>
      <c r="L110" s="5">
        <v>25</v>
      </c>
      <c r="M110" s="5">
        <v>0</v>
      </c>
      <c r="N110" s="5"/>
      <c r="O110" s="5" t="s">
        <v>137</v>
      </c>
    </row>
    <row r="111" spans="1:15" ht="14" customHeight="1" x14ac:dyDescent="0.45">
      <c r="A111" s="7">
        <v>45581</v>
      </c>
      <c r="B111" s="5" t="s">
        <v>136</v>
      </c>
      <c r="C111" s="5" t="s">
        <v>16</v>
      </c>
      <c r="D111" s="25">
        <v>2</v>
      </c>
      <c r="E111" s="5">
        <v>7</v>
      </c>
      <c r="F111" s="5">
        <v>1</v>
      </c>
      <c r="G111" s="7">
        <v>45734</v>
      </c>
      <c r="H111" s="5" t="s">
        <v>91</v>
      </c>
      <c r="I111" s="5">
        <v>1</v>
      </c>
      <c r="J111" s="5" t="s">
        <v>18</v>
      </c>
      <c r="K111" s="6">
        <f>IF(J111=[9]Legend!$A$67,[9]Legend!$B$67,(IF(J111=[9]Legend!$A$68,[9]Legend!$B$68,IF(J111=[9]Legend!$A$69, [9]Legend!$B$69, IF(J111=[9]Legend!$A$70, [9]Legend!$B$70, IF(J111=[9]Legend!$A$71, [9]Legend!$B$71, IF(J111=[9]Legend!$A$72, [9]Legend!$B$72, IF(J111=[9]Legend!$A$73, [9]Legend!$B$73, (IF(J111=[9]Legend!$A$74, [9]Legend!$B$74, IF(J111=[9]Legend!$A$75, [9]Legend!$B$75, "")))))))))))</f>
        <v>5</v>
      </c>
      <c r="L111" s="5">
        <v>0</v>
      </c>
      <c r="M111" s="5">
        <v>0</v>
      </c>
      <c r="N111" s="5"/>
      <c r="O111" s="5"/>
    </row>
    <row r="112" spans="1:15" ht="14" customHeight="1" x14ac:dyDescent="0.45">
      <c r="A112" s="7">
        <v>45581</v>
      </c>
      <c r="B112" s="5" t="s">
        <v>136</v>
      </c>
      <c r="C112" s="5" t="s">
        <v>16</v>
      </c>
      <c r="D112" s="25">
        <v>2</v>
      </c>
      <c r="E112" s="5">
        <v>7</v>
      </c>
      <c r="F112" s="5">
        <v>1</v>
      </c>
      <c r="G112" s="7">
        <v>45734</v>
      </c>
      <c r="H112" s="5" t="s">
        <v>91</v>
      </c>
      <c r="I112" s="5">
        <v>1</v>
      </c>
      <c r="J112" s="5" t="s">
        <v>69</v>
      </c>
      <c r="K112" s="6">
        <f>IF(J112=[9]Legend!$A$67,[9]Legend!$B$67,(IF(J112=[9]Legend!$A$68,[9]Legend!$B$68,IF(J112=[9]Legend!$A$69, [9]Legend!$B$69, IF(J112=[9]Legend!$A$70, [9]Legend!$B$70, IF(J112=[9]Legend!$A$71, [9]Legend!$B$71, IF(J112=[9]Legend!$A$72, [9]Legend!$B$72, IF(J112=[9]Legend!$A$73, [9]Legend!$B$73, (IF(J112=[9]Legend!$A$74, [9]Legend!$B$74, IF(J112=[9]Legend!$A$75, [9]Legend!$B$75, "")))))))))))</f>
        <v>120</v>
      </c>
      <c r="L112" s="5">
        <v>3</v>
      </c>
      <c r="M112" s="5">
        <v>1</v>
      </c>
      <c r="N112" s="5" t="s">
        <v>21</v>
      </c>
      <c r="O112" s="5" t="s">
        <v>138</v>
      </c>
    </row>
    <row r="113" spans="1:15" ht="14" customHeight="1" x14ac:dyDescent="0.45">
      <c r="A113" s="7">
        <v>45581</v>
      </c>
      <c r="B113" s="5" t="s">
        <v>136</v>
      </c>
      <c r="C113" s="5" t="s">
        <v>90</v>
      </c>
      <c r="D113" s="25">
        <v>2</v>
      </c>
      <c r="E113" s="5">
        <v>7</v>
      </c>
      <c r="F113" s="5">
        <v>1</v>
      </c>
      <c r="G113" s="7">
        <v>45775</v>
      </c>
      <c r="H113" s="5" t="s">
        <v>91</v>
      </c>
      <c r="I113" s="5">
        <v>1</v>
      </c>
      <c r="J113" s="5" t="s">
        <v>60</v>
      </c>
      <c r="K113" s="6">
        <f>IF(J113=[13]Legend!$A$67,[13]Legend!$B$67,(IF(J113=[13]Legend!$A$68,[13]Legend!$B$68,IF(J113=[13]Legend!$A$69, [13]Legend!$B$69, IF(J113=[13]Legend!$A$70, [13]Legend!$B$70, IF(J113=[13]Legend!$A$71, [13]Legend!$B$71, IF(J113=[13]Legend!$A$72, [13]Legend!$B$72, IF(J113=[13]Legend!$A$73, [13]Legend!$B$73, (IF(J113=[13]Legend!$A$74, [13]Legend!$B$74, IF(J113=[13]Legend!$A$75, [13]Legend!$B$75, "")))))))))))</f>
        <v>25</v>
      </c>
      <c r="L113" s="5">
        <v>25</v>
      </c>
      <c r="M113" s="5">
        <v>1</v>
      </c>
      <c r="N113" s="5" t="s">
        <v>21</v>
      </c>
      <c r="O113" s="5"/>
    </row>
    <row r="114" spans="1:15" ht="14" customHeight="1" x14ac:dyDescent="0.45">
      <c r="A114" s="7">
        <v>45581</v>
      </c>
      <c r="B114" s="5" t="s">
        <v>136</v>
      </c>
      <c r="C114" s="5" t="s">
        <v>90</v>
      </c>
      <c r="D114" s="25">
        <v>2</v>
      </c>
      <c r="E114" s="5">
        <v>7</v>
      </c>
      <c r="F114" s="5">
        <v>1</v>
      </c>
      <c r="G114" s="7">
        <v>45775</v>
      </c>
      <c r="H114" s="5" t="s">
        <v>91</v>
      </c>
      <c r="I114" s="5">
        <v>1</v>
      </c>
      <c r="J114" s="5" t="s">
        <v>18</v>
      </c>
      <c r="K114" s="6">
        <f>IF(J114=[13]Legend!$A$67,[13]Legend!$B$67,(IF(J114=[13]Legend!$A$68,[13]Legend!$B$68,IF(J114=[13]Legend!$A$69, [13]Legend!$B$69, IF(J114=[13]Legend!$A$70, [13]Legend!$B$70, IF(J114=[13]Legend!$A$71, [13]Legend!$B$71, IF(J114=[13]Legend!$A$72, [13]Legend!$B$72, IF(J114=[13]Legend!$A$73, [13]Legend!$B$73, (IF(J114=[13]Legend!$A$74, [13]Legend!$B$74, IF(J114=[13]Legend!$A$75, [13]Legend!$B$75, "")))))))))))</f>
        <v>5</v>
      </c>
      <c r="L114" s="5">
        <v>5</v>
      </c>
      <c r="M114" s="5">
        <v>0</v>
      </c>
      <c r="N114" s="5"/>
      <c r="O114" s="5"/>
    </row>
    <row r="115" spans="1:15" ht="14" customHeight="1" x14ac:dyDescent="0.45">
      <c r="A115" s="7">
        <v>45581</v>
      </c>
      <c r="B115" s="5" t="s">
        <v>136</v>
      </c>
      <c r="C115" s="5" t="s">
        <v>90</v>
      </c>
      <c r="D115" s="25">
        <v>2</v>
      </c>
      <c r="E115" s="5">
        <v>7</v>
      </c>
      <c r="F115" s="5">
        <v>1</v>
      </c>
      <c r="G115" s="7">
        <v>45775</v>
      </c>
      <c r="H115" s="5" t="s">
        <v>91</v>
      </c>
      <c r="I115" s="5">
        <v>1</v>
      </c>
      <c r="J115" s="5" t="s">
        <v>69</v>
      </c>
      <c r="K115" s="6">
        <f>IF(J115=[13]Legend!$A$67,[13]Legend!$B$67,(IF(J115=[13]Legend!$A$68,[13]Legend!$B$68,IF(J115=[13]Legend!$A$69, [13]Legend!$B$69, IF(J115=[13]Legend!$A$70, [13]Legend!$B$70, IF(J115=[13]Legend!$A$71, [13]Legend!$B$71, IF(J115=[13]Legend!$A$72, [13]Legend!$B$72, IF(J115=[13]Legend!$A$73, [13]Legend!$B$73, (IF(J115=[13]Legend!$A$74, [13]Legend!$B$74, IF(J115=[13]Legend!$A$75, [13]Legend!$B$75, "")))))))))))</f>
        <v>120</v>
      </c>
      <c r="L115" s="5">
        <v>121</v>
      </c>
      <c r="M115" s="5">
        <v>0</v>
      </c>
      <c r="N115" s="5"/>
      <c r="O115" s="5"/>
    </row>
    <row r="116" spans="1:15" ht="14" customHeight="1" x14ac:dyDescent="0.45">
      <c r="A116" s="7">
        <v>45581</v>
      </c>
      <c r="B116" s="5" t="s">
        <v>136</v>
      </c>
      <c r="C116" s="5" t="s">
        <v>124</v>
      </c>
      <c r="D116" s="25">
        <v>2</v>
      </c>
      <c r="E116" s="5">
        <v>7</v>
      </c>
      <c r="F116" s="5">
        <v>2</v>
      </c>
      <c r="G116" s="7">
        <v>45776</v>
      </c>
      <c r="H116" s="5" t="s">
        <v>91</v>
      </c>
      <c r="I116" s="5">
        <v>1</v>
      </c>
      <c r="J116" s="5" t="s">
        <v>60</v>
      </c>
      <c r="K116" s="6">
        <f>IF(J116=[13]Legend!$A$67,[13]Legend!$B$67,(IF(J116=[13]Legend!$A$68,[13]Legend!$B$68,IF(J116=[13]Legend!$A$69, [13]Legend!$B$69, IF(J116=[13]Legend!$A$70, [13]Legend!$B$70, IF(J116=[13]Legend!$A$71, [13]Legend!$B$71, IF(J116=[13]Legend!$A$72, [13]Legend!$B$72, IF(J116=[13]Legend!$A$73, [13]Legend!$B$73, (IF(J116=[13]Legend!$A$74, [13]Legend!$B$74, IF(J116=[13]Legend!$A$75, [13]Legend!$B$75, "")))))))))))</f>
        <v>25</v>
      </c>
      <c r="L116" s="5">
        <v>25</v>
      </c>
      <c r="M116" s="5">
        <v>0</v>
      </c>
      <c r="N116" s="5"/>
      <c r="O116" s="5"/>
    </row>
    <row r="117" spans="1:15" ht="14" customHeight="1" x14ac:dyDescent="0.45">
      <c r="A117" s="7">
        <v>45581</v>
      </c>
      <c r="B117" s="5" t="s">
        <v>136</v>
      </c>
      <c r="C117" s="5" t="s">
        <v>124</v>
      </c>
      <c r="D117" s="25">
        <v>2</v>
      </c>
      <c r="E117" s="5">
        <v>7</v>
      </c>
      <c r="F117" s="5">
        <v>2</v>
      </c>
      <c r="G117" s="7">
        <v>45776</v>
      </c>
      <c r="H117" s="5" t="s">
        <v>91</v>
      </c>
      <c r="I117" s="5">
        <v>1</v>
      </c>
      <c r="J117" s="5" t="s">
        <v>18</v>
      </c>
      <c r="K117" s="6">
        <f>IF(J117=[13]Legend!$A$67,[13]Legend!$B$67,(IF(J117=[13]Legend!$A$68,[13]Legend!$B$68,IF(J117=[13]Legend!$A$69, [13]Legend!$B$69, IF(J117=[13]Legend!$A$70, [13]Legend!$B$70, IF(J117=[13]Legend!$A$71, [13]Legend!$B$71, IF(J117=[13]Legend!$A$72, [13]Legend!$B$72, IF(J117=[13]Legend!$A$73, [13]Legend!$B$73, (IF(J117=[13]Legend!$A$74, [13]Legend!$B$74, IF(J117=[13]Legend!$A$75, [13]Legend!$B$75, "")))))))))))</f>
        <v>5</v>
      </c>
      <c r="L117" s="5">
        <v>5</v>
      </c>
      <c r="M117" s="5">
        <v>0</v>
      </c>
      <c r="N117" s="5"/>
      <c r="O117" s="5"/>
    </row>
    <row r="118" spans="1:15" ht="14" customHeight="1" x14ac:dyDescent="0.45">
      <c r="A118" s="7">
        <v>45581</v>
      </c>
      <c r="B118" s="5" t="s">
        <v>136</v>
      </c>
      <c r="C118" s="5" t="s">
        <v>124</v>
      </c>
      <c r="D118" s="25">
        <v>2</v>
      </c>
      <c r="E118" s="5">
        <v>7</v>
      </c>
      <c r="F118" s="5">
        <v>2</v>
      </c>
      <c r="G118" s="7">
        <v>45776</v>
      </c>
      <c r="H118" s="5" t="s">
        <v>91</v>
      </c>
      <c r="I118" s="5">
        <v>1</v>
      </c>
      <c r="J118" s="5" t="s">
        <v>69</v>
      </c>
      <c r="K118" s="6">
        <f>IF(J118=[13]Legend!$A$67,[13]Legend!$B$67,(IF(J118=[13]Legend!$A$68,[13]Legend!$B$68,IF(J118=[13]Legend!$A$69, [13]Legend!$B$69, IF(J118=[13]Legend!$A$70, [13]Legend!$B$70, IF(J118=[13]Legend!$A$71, [13]Legend!$B$71, IF(J118=[13]Legend!$A$72, [13]Legend!$B$72, IF(J118=[13]Legend!$A$73, [13]Legend!$B$73, (IF(J118=[13]Legend!$A$74, [13]Legend!$B$74, IF(J118=[13]Legend!$A$75, [13]Legend!$B$75, "")))))))))))</f>
        <v>120</v>
      </c>
      <c r="L118" s="5">
        <v>119</v>
      </c>
      <c r="M118" s="5">
        <v>0</v>
      </c>
      <c r="N118" s="5"/>
      <c r="O118" s="5"/>
    </row>
    <row r="119" spans="1:15" ht="14" customHeight="1" x14ac:dyDescent="0.45">
      <c r="A119" s="7">
        <v>45574</v>
      </c>
      <c r="B119" s="5" t="s">
        <v>136</v>
      </c>
      <c r="C119" s="5" t="s">
        <v>124</v>
      </c>
      <c r="D119" s="25">
        <v>2</v>
      </c>
      <c r="E119" s="5">
        <v>7</v>
      </c>
      <c r="F119" s="5">
        <v>1</v>
      </c>
      <c r="G119" s="7">
        <v>45777</v>
      </c>
      <c r="H119" s="5" t="s">
        <v>91</v>
      </c>
      <c r="I119" s="5">
        <v>1</v>
      </c>
      <c r="J119" s="5" t="s">
        <v>60</v>
      </c>
      <c r="K119" s="6">
        <f>IF(J119=[13]Legend!$A$67,[13]Legend!$B$67,(IF(J119=[13]Legend!$A$68,[13]Legend!$B$68,IF(J119=[13]Legend!$A$69, [13]Legend!$B$69, IF(J119=[13]Legend!$A$70, [13]Legend!$B$70, IF(J119=[13]Legend!$A$71, [13]Legend!$B$71, IF(J119=[13]Legend!$A$72, [13]Legend!$B$72, IF(J119=[13]Legend!$A$73, [13]Legend!$B$73, (IF(J119=[13]Legend!$A$74, [13]Legend!$B$74, IF(J119=[13]Legend!$A$75, [13]Legend!$B$75, "")))))))))))</f>
        <v>25</v>
      </c>
      <c r="L119" s="5">
        <v>25</v>
      </c>
      <c r="M119" s="5">
        <v>0</v>
      </c>
      <c r="N119" s="5"/>
      <c r="O119" s="5" t="s">
        <v>158</v>
      </c>
    </row>
    <row r="120" spans="1:15" ht="14" customHeight="1" x14ac:dyDescent="0.45">
      <c r="A120" s="7">
        <v>45574</v>
      </c>
      <c r="B120" s="5" t="s">
        <v>136</v>
      </c>
      <c r="C120" s="5" t="s">
        <v>124</v>
      </c>
      <c r="D120" s="25">
        <v>2</v>
      </c>
      <c r="E120" s="5">
        <v>7</v>
      </c>
      <c r="F120" s="5">
        <v>1</v>
      </c>
      <c r="G120" s="7">
        <v>45777</v>
      </c>
      <c r="H120" s="5" t="s">
        <v>91</v>
      </c>
      <c r="I120" s="5">
        <v>1</v>
      </c>
      <c r="J120" s="5" t="s">
        <v>18</v>
      </c>
      <c r="K120" s="6">
        <f>IF(J120=[13]Legend!$A$67,[13]Legend!$B$67,(IF(J120=[13]Legend!$A$68,[13]Legend!$B$68,IF(J120=[13]Legend!$A$69, [13]Legend!$B$69, IF(J120=[13]Legend!$A$70, [13]Legend!$B$70, IF(J120=[13]Legend!$A$71, [13]Legend!$B$71, IF(J120=[13]Legend!$A$72, [13]Legend!$B$72, IF(J120=[13]Legend!$A$73, [13]Legend!$B$73, (IF(J120=[13]Legend!$A$74, [13]Legend!$B$74, IF(J120=[13]Legend!$A$75, [13]Legend!$B$75, "")))))))))))</f>
        <v>5</v>
      </c>
      <c r="L120" s="5">
        <v>0</v>
      </c>
      <c r="M120" s="5">
        <v>0</v>
      </c>
      <c r="N120" s="5"/>
      <c r="O120" s="5" t="s">
        <v>158</v>
      </c>
    </row>
    <row r="121" spans="1:15" ht="14" customHeight="1" x14ac:dyDescent="0.45">
      <c r="A121" s="7">
        <v>45574</v>
      </c>
      <c r="B121" s="5" t="s">
        <v>136</v>
      </c>
      <c r="C121" s="5" t="s">
        <v>124</v>
      </c>
      <c r="D121" s="25">
        <v>2</v>
      </c>
      <c r="E121" s="5">
        <v>7</v>
      </c>
      <c r="F121" s="5">
        <v>1</v>
      </c>
      <c r="G121" s="7">
        <v>45777</v>
      </c>
      <c r="H121" s="5" t="s">
        <v>91</v>
      </c>
      <c r="I121" s="5">
        <v>1</v>
      </c>
      <c r="J121" s="5" t="s">
        <v>69</v>
      </c>
      <c r="K121" s="6">
        <f>IF(J121=[13]Legend!$A$67,[13]Legend!$B$67,(IF(J121=[13]Legend!$A$68,[13]Legend!$B$68,IF(J121=[13]Legend!$A$69, [13]Legend!$B$69, IF(J121=[13]Legend!$A$70, [13]Legend!$B$70, IF(J121=[13]Legend!$A$71, [13]Legend!$B$71, IF(J121=[13]Legend!$A$72, [13]Legend!$B$72, IF(J121=[13]Legend!$A$73, [13]Legend!$B$73, (IF(J121=[13]Legend!$A$74, [13]Legend!$B$74, IF(J121=[13]Legend!$A$75, [13]Legend!$B$75, "")))))))))))</f>
        <v>120</v>
      </c>
      <c r="L121" s="5">
        <v>0</v>
      </c>
      <c r="M121" s="5">
        <v>0</v>
      </c>
      <c r="N121" s="5"/>
      <c r="O121" s="5" t="s">
        <v>158</v>
      </c>
    </row>
    <row r="122" spans="1:15" ht="14" customHeight="1" x14ac:dyDescent="0.45">
      <c r="A122" s="7">
        <v>45588</v>
      </c>
      <c r="B122" s="5" t="s">
        <v>136</v>
      </c>
      <c r="C122" s="5" t="s">
        <v>16</v>
      </c>
      <c r="D122" s="5">
        <v>3</v>
      </c>
      <c r="E122" s="5">
        <v>7</v>
      </c>
      <c r="F122" s="5">
        <v>2</v>
      </c>
      <c r="G122" s="7">
        <v>45741</v>
      </c>
      <c r="H122" s="5" t="s">
        <v>91</v>
      </c>
      <c r="I122" s="5">
        <v>1</v>
      </c>
      <c r="J122" s="5" t="s">
        <v>60</v>
      </c>
      <c r="K122" s="6">
        <f>IF(J122=[11]Legend!$A$67,[11]Legend!$B$67,(IF(J122=[11]Legend!$A$68,[11]Legend!$B$68,IF(J122=[11]Legend!$A$69, [11]Legend!$B$69, IF(J122=[11]Legend!$A$70, [11]Legend!$B$70, IF(J122=[11]Legend!$A$71, [11]Legend!$B$71, IF(J122=[11]Legend!$A$72, [11]Legend!$B$72, IF(J122=[11]Legend!$A$73, [11]Legend!$B$73, (IF(J122=[11]Legend!$A$74, [11]Legend!$B$74, IF(J122=[11]Legend!$A$75, [11]Legend!$B$75, "")))))))))))</f>
        <v>25</v>
      </c>
      <c r="L122" s="5">
        <v>24</v>
      </c>
      <c r="M122" s="5">
        <v>0</v>
      </c>
      <c r="N122" s="5"/>
      <c r="O122" s="5"/>
    </row>
    <row r="123" spans="1:15" ht="14" customHeight="1" x14ac:dyDescent="0.45">
      <c r="A123" s="7">
        <v>45588</v>
      </c>
      <c r="B123" s="5" t="s">
        <v>136</v>
      </c>
      <c r="C123" s="5" t="s">
        <v>16</v>
      </c>
      <c r="D123" s="5">
        <v>3</v>
      </c>
      <c r="E123" s="5">
        <v>7</v>
      </c>
      <c r="F123" s="5">
        <v>2</v>
      </c>
      <c r="G123" s="7">
        <v>45741</v>
      </c>
      <c r="H123" s="5" t="s">
        <v>91</v>
      </c>
      <c r="I123" s="5">
        <v>1</v>
      </c>
      <c r="J123" s="5" t="s">
        <v>18</v>
      </c>
      <c r="K123" s="6">
        <f>IF(J123=[11]Legend!$A$67,[11]Legend!$B$67,(IF(J123=[11]Legend!$A$68,[11]Legend!$B$68,IF(J123=[11]Legend!$A$69, [11]Legend!$B$69, IF(J123=[11]Legend!$A$70, [11]Legend!$B$70, IF(J123=[11]Legend!$A$71, [11]Legend!$B$71, IF(J123=[11]Legend!$A$72, [11]Legend!$B$72, IF(J123=[11]Legend!$A$73, [11]Legend!$B$73, (IF(J123=[11]Legend!$A$74, [11]Legend!$B$74, IF(J123=[11]Legend!$A$75, [11]Legend!$B$75, "")))))))))))</f>
        <v>5</v>
      </c>
      <c r="L123" s="5">
        <v>5</v>
      </c>
      <c r="M123" s="5">
        <v>0</v>
      </c>
      <c r="N123" s="5"/>
      <c r="O123" s="5"/>
    </row>
    <row r="124" spans="1:15" ht="14" customHeight="1" x14ac:dyDescent="0.45">
      <c r="A124" s="7">
        <v>45588</v>
      </c>
      <c r="B124" s="5" t="s">
        <v>136</v>
      </c>
      <c r="C124" s="5" t="s">
        <v>16</v>
      </c>
      <c r="D124" s="5">
        <v>3</v>
      </c>
      <c r="E124" s="5">
        <v>7</v>
      </c>
      <c r="F124" s="5">
        <v>2</v>
      </c>
      <c r="G124" s="7">
        <v>45741</v>
      </c>
      <c r="H124" s="5" t="s">
        <v>91</v>
      </c>
      <c r="I124" s="5">
        <v>1</v>
      </c>
      <c r="J124" s="5" t="s">
        <v>69</v>
      </c>
      <c r="K124" s="6">
        <f>IF(J124=[11]Legend!$A$67,[11]Legend!$B$67,(IF(J124=[11]Legend!$A$68,[11]Legend!$B$68,IF(J124=[11]Legend!$A$69, [11]Legend!$B$69, IF(J124=[11]Legend!$A$70, [11]Legend!$B$70, IF(J124=[11]Legend!$A$71, [11]Legend!$B$71, IF(J124=[11]Legend!$A$72, [11]Legend!$B$72, IF(J124=[11]Legend!$A$73, [11]Legend!$B$73, (IF(J124=[11]Legend!$A$74, [11]Legend!$B$74, IF(J124=[11]Legend!$A$75, [11]Legend!$B$75, "")))))))))))</f>
        <v>120</v>
      </c>
      <c r="L124" s="5">
        <v>120</v>
      </c>
      <c r="M124" s="5">
        <v>0</v>
      </c>
      <c r="N124" s="5"/>
      <c r="O124" s="5"/>
    </row>
    <row r="125" spans="1:15" ht="14" customHeight="1" x14ac:dyDescent="0.45">
      <c r="A125" s="7">
        <v>45574</v>
      </c>
      <c r="B125" s="5" t="s">
        <v>136</v>
      </c>
      <c r="C125" s="5" t="s">
        <v>90</v>
      </c>
      <c r="D125" s="25">
        <v>1</v>
      </c>
      <c r="E125" s="5">
        <v>8</v>
      </c>
      <c r="F125" s="5">
        <v>1</v>
      </c>
      <c r="G125" s="7">
        <v>45769</v>
      </c>
      <c r="H125" s="5" t="s">
        <v>91</v>
      </c>
      <c r="I125" s="5">
        <v>1</v>
      </c>
      <c r="J125" s="5" t="s">
        <v>60</v>
      </c>
      <c r="K125" s="6">
        <f>IF(J125=[13]Legend!$A$67,[13]Legend!$B$67,(IF(J125=[13]Legend!$A$68,[13]Legend!$B$68,IF(J125=[13]Legend!$A$69, [13]Legend!$B$69, IF(J125=[13]Legend!$A$70, [13]Legend!$B$70, IF(J125=[13]Legend!$A$71, [13]Legend!$B$71, IF(J125=[13]Legend!$A$72, [13]Legend!$B$72, IF(J125=[13]Legend!$A$73, [13]Legend!$B$73, (IF(J125=[13]Legend!$A$74, [13]Legend!$B$74, IF(J125=[13]Legend!$A$75, [13]Legend!$B$75, "")))))))))))</f>
        <v>25</v>
      </c>
      <c r="L125" s="5">
        <v>24</v>
      </c>
      <c r="M125" s="5">
        <v>0</v>
      </c>
      <c r="N125" s="5"/>
      <c r="O125" s="5"/>
    </row>
    <row r="126" spans="1:15" ht="14" customHeight="1" x14ac:dyDescent="0.45">
      <c r="A126" s="7">
        <v>45574</v>
      </c>
      <c r="B126" s="5" t="s">
        <v>136</v>
      </c>
      <c r="C126" s="5" t="s">
        <v>90</v>
      </c>
      <c r="D126" s="25">
        <v>1</v>
      </c>
      <c r="E126" s="5">
        <v>8</v>
      </c>
      <c r="F126" s="5">
        <v>1</v>
      </c>
      <c r="G126" s="7">
        <v>45769</v>
      </c>
      <c r="H126" s="5" t="s">
        <v>91</v>
      </c>
      <c r="I126" s="5">
        <v>1</v>
      </c>
      <c r="J126" s="5" t="s">
        <v>18</v>
      </c>
      <c r="K126" s="6">
        <f>IF(J126=[13]Legend!$A$67,[13]Legend!$B$67,(IF(J126=[13]Legend!$A$68,[13]Legend!$B$68,IF(J126=[13]Legend!$A$69, [13]Legend!$B$69, IF(J126=[13]Legend!$A$70, [13]Legend!$B$70, IF(J126=[13]Legend!$A$71, [13]Legend!$B$71, IF(J126=[13]Legend!$A$72, [13]Legend!$B$72, IF(J126=[13]Legend!$A$73, [13]Legend!$B$73, (IF(J126=[13]Legend!$A$74, [13]Legend!$B$74, IF(J126=[13]Legend!$A$75, [13]Legend!$B$75, "")))))))))))</f>
        <v>5</v>
      </c>
      <c r="L126" s="5">
        <v>5</v>
      </c>
      <c r="M126" s="5">
        <v>0</v>
      </c>
      <c r="N126" s="5"/>
      <c r="O126" s="5"/>
    </row>
    <row r="127" spans="1:15" ht="14" customHeight="1" x14ac:dyDescent="0.45">
      <c r="A127" s="7">
        <v>45574</v>
      </c>
      <c r="B127" s="5" t="s">
        <v>136</v>
      </c>
      <c r="C127" s="5" t="s">
        <v>90</v>
      </c>
      <c r="D127" s="25">
        <v>1</v>
      </c>
      <c r="E127" s="5">
        <v>8</v>
      </c>
      <c r="F127" s="5">
        <v>1</v>
      </c>
      <c r="G127" s="7">
        <v>45769</v>
      </c>
      <c r="H127" s="5" t="s">
        <v>91</v>
      </c>
      <c r="I127" s="5">
        <v>1</v>
      </c>
      <c r="J127" s="5" t="s">
        <v>69</v>
      </c>
      <c r="K127" s="6">
        <f>IF(J127=[13]Legend!$A$67,[13]Legend!$B$67,(IF(J127=[13]Legend!$A$68,[13]Legend!$B$68,IF(J127=[13]Legend!$A$69, [13]Legend!$B$69, IF(J127=[13]Legend!$A$70, [13]Legend!$B$70, IF(J127=[13]Legend!$A$71, [13]Legend!$B$71, IF(J127=[13]Legend!$A$72, [13]Legend!$B$72, IF(J127=[13]Legend!$A$73, [13]Legend!$B$73, (IF(J127=[13]Legend!$A$74, [13]Legend!$B$74, IF(J127=[13]Legend!$A$75, [13]Legend!$B$75, "")))))))))))</f>
        <v>120</v>
      </c>
      <c r="L127" s="5">
        <v>120</v>
      </c>
      <c r="M127" s="5">
        <v>1</v>
      </c>
      <c r="N127" s="5"/>
      <c r="O127" s="5"/>
    </row>
    <row r="128" spans="1:15" ht="14" customHeight="1" x14ac:dyDescent="0.45">
      <c r="A128" s="7">
        <v>45581</v>
      </c>
      <c r="B128" s="5" t="s">
        <v>136</v>
      </c>
      <c r="C128" s="5" t="s">
        <v>124</v>
      </c>
      <c r="D128" s="25">
        <v>2</v>
      </c>
      <c r="E128" s="5">
        <v>8</v>
      </c>
      <c r="F128" s="5">
        <v>1</v>
      </c>
      <c r="G128" s="7">
        <v>45775</v>
      </c>
      <c r="H128" s="5" t="s">
        <v>91</v>
      </c>
      <c r="I128" s="5">
        <v>1</v>
      </c>
      <c r="J128" s="5" t="s">
        <v>60</v>
      </c>
      <c r="K128" s="6">
        <f>IF(J128=[13]Legend!$A$67,[13]Legend!$B$67,(IF(J128=[13]Legend!$A$68,[13]Legend!$B$68,IF(J128=[13]Legend!$A$69, [13]Legend!$B$69, IF(J128=[13]Legend!$A$70, [13]Legend!$B$70, IF(J128=[13]Legend!$A$71, [13]Legend!$B$71, IF(J128=[13]Legend!$A$72, [13]Legend!$B$72, IF(J128=[13]Legend!$A$73, [13]Legend!$B$73, (IF(J128=[13]Legend!$A$74, [13]Legend!$B$74, IF(J128=[13]Legend!$A$75, [13]Legend!$B$75, "")))))))))))</f>
        <v>25</v>
      </c>
      <c r="L128" s="5">
        <v>25</v>
      </c>
      <c r="M128" s="5">
        <v>0</v>
      </c>
      <c r="N128" s="5"/>
      <c r="O128" s="5"/>
    </row>
    <row r="129" spans="1:15" ht="14" customHeight="1" x14ac:dyDescent="0.45">
      <c r="A129" s="7">
        <v>45581</v>
      </c>
      <c r="B129" s="5" t="s">
        <v>136</v>
      </c>
      <c r="C129" s="5" t="s">
        <v>124</v>
      </c>
      <c r="D129" s="25">
        <v>2</v>
      </c>
      <c r="E129" s="5">
        <v>8</v>
      </c>
      <c r="F129" s="5">
        <v>1</v>
      </c>
      <c r="G129" s="7">
        <v>45775</v>
      </c>
      <c r="H129" s="5" t="s">
        <v>91</v>
      </c>
      <c r="I129" s="5">
        <v>1</v>
      </c>
      <c r="J129" s="5" t="s">
        <v>18</v>
      </c>
      <c r="K129" s="6">
        <f>IF(J129=[13]Legend!$A$67,[13]Legend!$B$67,(IF(J129=[13]Legend!$A$68,[13]Legend!$B$68,IF(J129=[13]Legend!$A$69, [13]Legend!$B$69, IF(J129=[13]Legend!$A$70, [13]Legend!$B$70, IF(J129=[13]Legend!$A$71, [13]Legend!$B$71, IF(J129=[13]Legend!$A$72, [13]Legend!$B$72, IF(J129=[13]Legend!$A$73, [13]Legend!$B$73, (IF(J129=[13]Legend!$A$74, [13]Legend!$B$74, IF(J129=[13]Legend!$A$75, [13]Legend!$B$75, "")))))))))))</f>
        <v>5</v>
      </c>
      <c r="L129" s="5">
        <v>5</v>
      </c>
      <c r="M129" s="5">
        <v>0</v>
      </c>
      <c r="N129" s="5"/>
      <c r="O129" s="5"/>
    </row>
    <row r="130" spans="1:15" ht="14" customHeight="1" x14ac:dyDescent="0.45">
      <c r="A130" s="7">
        <v>45581</v>
      </c>
      <c r="B130" s="5" t="s">
        <v>136</v>
      </c>
      <c r="C130" s="5" t="s">
        <v>124</v>
      </c>
      <c r="D130" s="25">
        <v>2</v>
      </c>
      <c r="E130" s="5">
        <v>8</v>
      </c>
      <c r="F130" s="5">
        <v>1</v>
      </c>
      <c r="G130" s="7">
        <v>45775</v>
      </c>
      <c r="H130" s="5" t="s">
        <v>91</v>
      </c>
      <c r="I130" s="5">
        <v>1</v>
      </c>
      <c r="J130" s="5" t="s">
        <v>69</v>
      </c>
      <c r="K130" s="6">
        <f>IF(J130=[13]Legend!$A$67,[13]Legend!$B$67,(IF(J130=[13]Legend!$A$68,[13]Legend!$B$68,IF(J130=[13]Legend!$A$69, [13]Legend!$B$69, IF(J130=[13]Legend!$A$70, [13]Legend!$B$70, IF(J130=[13]Legend!$A$71, [13]Legend!$B$71, IF(J130=[13]Legend!$A$72, [13]Legend!$B$72, IF(J130=[13]Legend!$A$73, [13]Legend!$B$73, (IF(J130=[13]Legend!$A$74, [13]Legend!$B$74, IF(J130=[13]Legend!$A$75, [13]Legend!$B$75, "")))))))))))</f>
        <v>120</v>
      </c>
      <c r="L130" s="5">
        <v>119</v>
      </c>
      <c r="M130" s="5">
        <v>0</v>
      </c>
      <c r="N130" s="5"/>
      <c r="O130" s="5"/>
    </row>
    <row r="131" spans="1:15" ht="14" customHeight="1" x14ac:dyDescent="0.45">
      <c r="A131" s="7">
        <v>45574</v>
      </c>
      <c r="B131" s="5" t="s">
        <v>136</v>
      </c>
      <c r="C131" s="5" t="s">
        <v>90</v>
      </c>
      <c r="D131" s="25">
        <v>2</v>
      </c>
      <c r="E131" s="5">
        <v>8</v>
      </c>
      <c r="F131" s="5">
        <v>2</v>
      </c>
      <c r="G131" s="7">
        <v>45777</v>
      </c>
      <c r="H131" s="5" t="s">
        <v>91</v>
      </c>
      <c r="I131" s="5">
        <v>1</v>
      </c>
      <c r="J131" s="5" t="s">
        <v>60</v>
      </c>
      <c r="K131" s="6">
        <f>IF(J131=[13]Legend!$A$67,[13]Legend!$B$67,(IF(J131=[13]Legend!$A$68,[13]Legend!$B$68,IF(J131=[13]Legend!$A$69, [13]Legend!$B$69, IF(J131=[13]Legend!$A$70, [13]Legend!$B$70, IF(J131=[13]Legend!$A$71, [13]Legend!$B$71, IF(J131=[13]Legend!$A$72, [13]Legend!$B$72, IF(J131=[13]Legend!$A$73, [13]Legend!$B$73, (IF(J131=[13]Legend!$A$74, [13]Legend!$B$74, IF(J131=[13]Legend!$A$75, [13]Legend!$B$75, "")))))))))))</f>
        <v>25</v>
      </c>
      <c r="L131" s="5">
        <v>25</v>
      </c>
      <c r="M131" s="5">
        <v>0</v>
      </c>
      <c r="N131" s="5"/>
      <c r="O131" s="5"/>
    </row>
    <row r="132" spans="1:15" ht="14" customHeight="1" x14ac:dyDescent="0.45">
      <c r="A132" s="7">
        <v>45574</v>
      </c>
      <c r="B132" s="5" t="s">
        <v>136</v>
      </c>
      <c r="C132" s="5" t="s">
        <v>90</v>
      </c>
      <c r="D132" s="25">
        <v>2</v>
      </c>
      <c r="E132" s="5">
        <v>8</v>
      </c>
      <c r="F132" s="5">
        <v>2</v>
      </c>
      <c r="G132" s="7">
        <v>45777</v>
      </c>
      <c r="H132" s="5" t="s">
        <v>91</v>
      </c>
      <c r="I132" s="5">
        <v>1</v>
      </c>
      <c r="J132" s="5" t="s">
        <v>18</v>
      </c>
      <c r="K132" s="6">
        <f>IF(J132=[13]Legend!$A$67,[13]Legend!$B$67,(IF(J132=[13]Legend!$A$68,[13]Legend!$B$68,IF(J132=[13]Legend!$A$69, [13]Legend!$B$69, IF(J132=[13]Legend!$A$70, [13]Legend!$B$70, IF(J132=[13]Legend!$A$71, [13]Legend!$B$71, IF(J132=[13]Legend!$A$72, [13]Legend!$B$72, IF(J132=[13]Legend!$A$73, [13]Legend!$B$73, (IF(J132=[13]Legend!$A$74, [13]Legend!$B$74, IF(J132=[13]Legend!$A$75, [13]Legend!$B$75, "")))))))))))</f>
        <v>5</v>
      </c>
      <c r="L132" s="5">
        <v>6</v>
      </c>
      <c r="M132" s="5">
        <v>0</v>
      </c>
      <c r="N132" s="5"/>
      <c r="O132" s="5"/>
    </row>
    <row r="133" spans="1:15" ht="14" customHeight="1" x14ac:dyDescent="0.45">
      <c r="A133" s="7">
        <v>45574</v>
      </c>
      <c r="B133" s="5" t="s">
        <v>136</v>
      </c>
      <c r="C133" s="5" t="s">
        <v>90</v>
      </c>
      <c r="D133" s="25">
        <v>2</v>
      </c>
      <c r="E133" s="5">
        <v>8</v>
      </c>
      <c r="F133" s="5">
        <v>2</v>
      </c>
      <c r="G133" s="7">
        <v>45777</v>
      </c>
      <c r="H133" s="5" t="s">
        <v>91</v>
      </c>
      <c r="I133" s="5">
        <v>1</v>
      </c>
      <c r="J133" s="5" t="s">
        <v>69</v>
      </c>
      <c r="K133" s="6">
        <f>IF(J133=[13]Legend!$A$67,[13]Legend!$B$67,(IF(J133=[13]Legend!$A$68,[13]Legend!$B$68,IF(J133=[13]Legend!$A$69, [13]Legend!$B$69, IF(J133=[13]Legend!$A$70, [13]Legend!$B$70, IF(J133=[13]Legend!$A$71, [13]Legend!$B$71, IF(J133=[13]Legend!$A$72, [13]Legend!$B$72, IF(J133=[13]Legend!$A$73, [13]Legend!$B$73, (IF(J133=[13]Legend!$A$74, [13]Legend!$B$74, IF(J133=[13]Legend!$A$75, [13]Legend!$B$75, "")))))))))))</f>
        <v>120</v>
      </c>
      <c r="L133" s="5">
        <v>120</v>
      </c>
      <c r="M133" s="5">
        <v>2</v>
      </c>
      <c r="N133" s="5" t="s">
        <v>30</v>
      </c>
      <c r="O133" s="5"/>
    </row>
    <row r="134" spans="1:15" ht="14" customHeight="1" x14ac:dyDescent="0.45">
      <c r="A134" s="7">
        <v>45588</v>
      </c>
      <c r="B134" s="5" t="s">
        <v>136</v>
      </c>
      <c r="C134" s="5" t="s">
        <v>16</v>
      </c>
      <c r="D134" s="25">
        <v>3</v>
      </c>
      <c r="E134" s="5">
        <v>8</v>
      </c>
      <c r="F134" s="5">
        <v>1</v>
      </c>
      <c r="G134" s="7">
        <v>45740</v>
      </c>
      <c r="H134" s="5" t="s">
        <v>91</v>
      </c>
      <c r="I134" s="5">
        <v>1</v>
      </c>
      <c r="J134" s="5" t="s">
        <v>60</v>
      </c>
      <c r="K134" s="6">
        <f>IF(J134=[11]Legend!$A$67,[11]Legend!$B$67,(IF(J134=[11]Legend!$A$68,[11]Legend!$B$68,IF(J134=[11]Legend!$A$69, [11]Legend!$B$69, IF(J134=[11]Legend!$A$70, [11]Legend!$B$70, IF(J134=[11]Legend!$A$71, [11]Legend!$B$71, IF(J134=[11]Legend!$A$72, [11]Legend!$B$72, IF(J134=[11]Legend!$A$73, [11]Legend!$B$73, (IF(J134=[11]Legend!$A$74, [11]Legend!$B$74, IF(J134=[11]Legend!$A$75, [11]Legend!$B$75, "")))))))))))</f>
        <v>25</v>
      </c>
      <c r="L134" s="5">
        <v>25</v>
      </c>
      <c r="M134" s="5">
        <v>0</v>
      </c>
      <c r="N134" s="5"/>
      <c r="O134" s="5"/>
    </row>
    <row r="135" spans="1:15" ht="14" customHeight="1" x14ac:dyDescent="0.45">
      <c r="A135" s="7">
        <v>45588</v>
      </c>
      <c r="B135" s="5" t="s">
        <v>136</v>
      </c>
      <c r="C135" s="5" t="s">
        <v>16</v>
      </c>
      <c r="D135" s="25">
        <v>3</v>
      </c>
      <c r="E135" s="5">
        <v>8</v>
      </c>
      <c r="F135" s="5">
        <v>1</v>
      </c>
      <c r="G135" s="7">
        <v>45740</v>
      </c>
      <c r="H135" s="5" t="s">
        <v>91</v>
      </c>
      <c r="I135" s="5">
        <v>1</v>
      </c>
      <c r="J135" s="5" t="s">
        <v>18</v>
      </c>
      <c r="K135" s="6">
        <f>IF(J135=[11]Legend!$A$67,[11]Legend!$B$67,(IF(J135=[11]Legend!$A$68,[11]Legend!$B$68,IF(J135=[11]Legend!$A$69, [11]Legend!$B$69, IF(J135=[11]Legend!$A$70, [11]Legend!$B$70, IF(J135=[11]Legend!$A$71, [11]Legend!$B$71, IF(J135=[11]Legend!$A$72, [11]Legend!$B$72, IF(J135=[11]Legend!$A$73, [11]Legend!$B$73, (IF(J135=[11]Legend!$A$74, [11]Legend!$B$74, IF(J135=[11]Legend!$A$75, [11]Legend!$B$75, "")))))))))))</f>
        <v>5</v>
      </c>
      <c r="L135" s="5">
        <v>0</v>
      </c>
      <c r="M135" s="5">
        <v>0</v>
      </c>
      <c r="N135" s="5"/>
      <c r="O135" s="5"/>
    </row>
    <row r="136" spans="1:15" ht="14" customHeight="1" x14ac:dyDescent="0.45">
      <c r="A136" s="7">
        <v>45588</v>
      </c>
      <c r="B136" s="5" t="s">
        <v>136</v>
      </c>
      <c r="C136" s="5" t="s">
        <v>16</v>
      </c>
      <c r="D136" s="25">
        <v>3</v>
      </c>
      <c r="E136" s="5">
        <v>8</v>
      </c>
      <c r="F136" s="5">
        <v>1</v>
      </c>
      <c r="G136" s="7">
        <v>45740</v>
      </c>
      <c r="H136" s="5" t="s">
        <v>91</v>
      </c>
      <c r="I136" s="5">
        <v>1</v>
      </c>
      <c r="J136" s="5" t="s">
        <v>69</v>
      </c>
      <c r="K136" s="6">
        <f>IF(J136=[11]Legend!$A$67,[11]Legend!$B$67,(IF(J136=[11]Legend!$A$68,[11]Legend!$B$68,IF(J136=[11]Legend!$A$69, [11]Legend!$B$69, IF(J136=[11]Legend!$A$70, [11]Legend!$B$70, IF(J136=[11]Legend!$A$71, [11]Legend!$B$71, IF(J136=[11]Legend!$A$72, [11]Legend!$B$72, IF(J136=[11]Legend!$A$73, [11]Legend!$B$73, (IF(J136=[11]Legend!$A$74, [11]Legend!$B$74, IF(J136=[11]Legend!$A$75, [11]Legend!$B$75, "")))))))))))</f>
        <v>120</v>
      </c>
      <c r="L136" s="5">
        <v>6</v>
      </c>
      <c r="M136" s="5">
        <v>3</v>
      </c>
      <c r="N136" s="5" t="s">
        <v>21</v>
      </c>
      <c r="O136" s="5"/>
    </row>
    <row r="137" spans="1:15" ht="14" customHeight="1" x14ac:dyDescent="0.45">
      <c r="A137" s="7">
        <v>45588</v>
      </c>
      <c r="B137" s="5" t="s">
        <v>136</v>
      </c>
      <c r="C137" s="5" t="s">
        <v>16</v>
      </c>
      <c r="D137" s="25">
        <v>3</v>
      </c>
      <c r="E137" s="5">
        <v>8</v>
      </c>
      <c r="F137" s="5">
        <v>2</v>
      </c>
      <c r="G137" s="7">
        <v>45741</v>
      </c>
      <c r="H137" s="5" t="s">
        <v>91</v>
      </c>
      <c r="I137" s="5">
        <v>1</v>
      </c>
      <c r="J137" s="5" t="s">
        <v>60</v>
      </c>
      <c r="K137" s="6">
        <f>IF(J137=[11]Legend!$A$67,[11]Legend!$B$67,(IF(J137=[11]Legend!$A$68,[11]Legend!$B$68,IF(J137=[11]Legend!$A$69, [11]Legend!$B$69, IF(J137=[11]Legend!$A$70, [11]Legend!$B$70, IF(J137=[11]Legend!$A$71, [11]Legend!$B$71, IF(J137=[11]Legend!$A$72, [11]Legend!$B$72, IF(J137=[11]Legend!$A$73, [11]Legend!$B$73, (IF(J137=[11]Legend!$A$74, [11]Legend!$B$74, IF(J137=[11]Legend!$A$75, [11]Legend!$B$75, "")))))))))))</f>
        <v>25</v>
      </c>
      <c r="L137" s="5">
        <v>25</v>
      </c>
      <c r="M137" s="5">
        <v>0</v>
      </c>
      <c r="N137" s="5"/>
      <c r="O137" s="5"/>
    </row>
    <row r="138" spans="1:15" ht="14" customHeight="1" x14ac:dyDescent="0.45">
      <c r="A138" s="7">
        <v>45588</v>
      </c>
      <c r="B138" s="5" t="s">
        <v>136</v>
      </c>
      <c r="C138" s="5" t="s">
        <v>16</v>
      </c>
      <c r="D138" s="25">
        <v>3</v>
      </c>
      <c r="E138" s="5">
        <v>8</v>
      </c>
      <c r="F138" s="5">
        <v>2</v>
      </c>
      <c r="G138" s="7">
        <v>45741</v>
      </c>
      <c r="H138" s="5" t="s">
        <v>91</v>
      </c>
      <c r="I138" s="5">
        <v>1</v>
      </c>
      <c r="J138" s="5" t="s">
        <v>18</v>
      </c>
      <c r="K138" s="6">
        <f>IF(J138=[11]Legend!$A$67,[11]Legend!$B$67,(IF(J138=[11]Legend!$A$68,[11]Legend!$B$68,IF(J138=[11]Legend!$A$69, [11]Legend!$B$69, IF(J138=[11]Legend!$A$70, [11]Legend!$B$70, IF(J138=[11]Legend!$A$71, [11]Legend!$B$71, IF(J138=[11]Legend!$A$72, [11]Legend!$B$72, IF(J138=[11]Legend!$A$73, [11]Legend!$B$73, (IF(J138=[11]Legend!$A$74, [11]Legend!$B$74, IF(J138=[11]Legend!$A$75, [11]Legend!$B$75, "")))))))))))</f>
        <v>5</v>
      </c>
      <c r="L138" s="5">
        <v>5</v>
      </c>
      <c r="M138" s="5">
        <v>0</v>
      </c>
      <c r="N138" s="5"/>
      <c r="O138" s="5"/>
    </row>
    <row r="139" spans="1:15" ht="14" customHeight="1" x14ac:dyDescent="0.45">
      <c r="A139" s="7">
        <v>45588</v>
      </c>
      <c r="B139" s="5" t="s">
        <v>136</v>
      </c>
      <c r="C139" s="5" t="s">
        <v>16</v>
      </c>
      <c r="D139" s="25">
        <v>3</v>
      </c>
      <c r="E139" s="5">
        <v>8</v>
      </c>
      <c r="F139" s="5">
        <v>2</v>
      </c>
      <c r="G139" s="7">
        <v>45741</v>
      </c>
      <c r="H139" s="5" t="s">
        <v>91</v>
      </c>
      <c r="I139" s="5">
        <v>1</v>
      </c>
      <c r="J139" s="5" t="s">
        <v>69</v>
      </c>
      <c r="K139" s="6">
        <f>IF(J139=[11]Legend!$A$67,[11]Legend!$B$67,(IF(J139=[11]Legend!$A$68,[11]Legend!$B$68,IF(J139=[11]Legend!$A$69, [11]Legend!$B$69, IF(J139=[11]Legend!$A$70, [11]Legend!$B$70, IF(J139=[11]Legend!$A$71, [11]Legend!$B$71, IF(J139=[11]Legend!$A$72, [11]Legend!$B$72, IF(J139=[11]Legend!$A$73, [11]Legend!$B$73, (IF(J139=[11]Legend!$A$74, [11]Legend!$B$74, IF(J139=[11]Legend!$A$75, [11]Legend!$B$75, "")))))))))))</f>
        <v>120</v>
      </c>
      <c r="L139" s="5">
        <v>120</v>
      </c>
      <c r="M139" s="5">
        <v>1</v>
      </c>
      <c r="N139" s="5" t="s">
        <v>30</v>
      </c>
      <c r="O139" s="5"/>
    </row>
    <row r="140" spans="1:15" ht="14" customHeight="1" x14ac:dyDescent="0.45">
      <c r="A140" s="7">
        <v>45581</v>
      </c>
      <c r="B140" s="5" t="s">
        <v>136</v>
      </c>
      <c r="C140" s="5" t="s">
        <v>16</v>
      </c>
      <c r="D140" s="25">
        <v>3</v>
      </c>
      <c r="E140" s="5">
        <v>8</v>
      </c>
      <c r="F140" s="5">
        <v>2</v>
      </c>
      <c r="G140" s="7">
        <v>45761</v>
      </c>
      <c r="H140" s="5" t="s">
        <v>91</v>
      </c>
      <c r="I140" s="5">
        <v>1</v>
      </c>
      <c r="J140" s="5" t="s">
        <v>60</v>
      </c>
      <c r="K140" s="6">
        <f>IF(J140=[11]Legend!$A$67,[11]Legend!$B$67,(IF(J140=[11]Legend!$A$68,[11]Legend!$B$68,IF(J140=[11]Legend!$A$69, [11]Legend!$B$69, IF(J140=[11]Legend!$A$70, [11]Legend!$B$70, IF(J140=[11]Legend!$A$71, [11]Legend!$B$71, IF(J140=[11]Legend!$A$72, [11]Legend!$B$72, IF(J140=[11]Legend!$A$73, [11]Legend!$B$73, (IF(J140=[11]Legend!$A$74, [11]Legend!$B$74, IF(J140=[11]Legend!$A$75, [11]Legend!$B$75, "")))))))))))</f>
        <v>25</v>
      </c>
      <c r="L140" s="5">
        <v>25</v>
      </c>
      <c r="M140" s="5">
        <v>1</v>
      </c>
      <c r="N140" s="5" t="s">
        <v>30</v>
      </c>
      <c r="O140" s="5"/>
    </row>
    <row r="141" spans="1:15" ht="14" customHeight="1" x14ac:dyDescent="0.45">
      <c r="A141" s="7">
        <v>45581</v>
      </c>
      <c r="B141" s="5" t="s">
        <v>136</v>
      </c>
      <c r="C141" s="5" t="s">
        <v>16</v>
      </c>
      <c r="D141" s="25">
        <v>3</v>
      </c>
      <c r="E141" s="5">
        <v>8</v>
      </c>
      <c r="F141" s="5">
        <v>2</v>
      </c>
      <c r="G141" s="7">
        <v>45761</v>
      </c>
      <c r="H141" s="5" t="s">
        <v>91</v>
      </c>
      <c r="I141" s="5">
        <v>1</v>
      </c>
      <c r="J141" s="5" t="s">
        <v>18</v>
      </c>
      <c r="K141" s="6">
        <f>IF(J141=[11]Legend!$A$67,[11]Legend!$B$67,(IF(J141=[11]Legend!$A$68,[11]Legend!$B$68,IF(J141=[11]Legend!$A$69, [11]Legend!$B$69, IF(J141=[11]Legend!$A$70, [11]Legend!$B$70, IF(J141=[11]Legend!$A$71, [11]Legend!$B$71, IF(J141=[11]Legend!$A$72, [11]Legend!$B$72, IF(J141=[11]Legend!$A$73, [11]Legend!$B$73, (IF(J141=[11]Legend!$A$74, [11]Legend!$B$74, IF(J141=[11]Legend!$A$75, [11]Legend!$B$75, "")))))))))))</f>
        <v>5</v>
      </c>
      <c r="L141" s="5">
        <v>6</v>
      </c>
      <c r="M141" s="5">
        <v>0</v>
      </c>
      <c r="N141" s="5"/>
      <c r="O141" s="5"/>
    </row>
    <row r="142" spans="1:15" ht="14" customHeight="1" x14ac:dyDescent="0.45">
      <c r="A142" s="7">
        <v>45581</v>
      </c>
      <c r="B142" s="5" t="s">
        <v>136</v>
      </c>
      <c r="C142" s="5" t="s">
        <v>16</v>
      </c>
      <c r="D142" s="5">
        <v>3</v>
      </c>
      <c r="E142" s="5">
        <v>8</v>
      </c>
      <c r="F142" s="5">
        <v>2</v>
      </c>
      <c r="G142" s="7">
        <v>45761</v>
      </c>
      <c r="H142" s="5" t="s">
        <v>91</v>
      </c>
      <c r="I142" s="5">
        <v>1</v>
      </c>
      <c r="J142" s="5" t="s">
        <v>69</v>
      </c>
      <c r="K142" s="6">
        <f>IF(J142=[11]Legend!$A$67,[11]Legend!$B$67,(IF(J142=[11]Legend!$A$68,[11]Legend!$B$68,IF(J142=[11]Legend!$A$69, [11]Legend!$B$69, IF(J142=[11]Legend!$A$70, [11]Legend!$B$70, IF(J142=[11]Legend!$A$71, [11]Legend!$B$71, IF(J142=[11]Legend!$A$72, [11]Legend!$B$72, IF(J142=[11]Legend!$A$73, [11]Legend!$B$73, (IF(J142=[11]Legend!$A$74, [11]Legend!$B$74, IF(J142=[11]Legend!$A$75, [11]Legend!$B$75, "")))))))))))</f>
        <v>120</v>
      </c>
      <c r="L142" s="5">
        <v>120</v>
      </c>
      <c r="M142" s="5">
        <v>0</v>
      </c>
      <c r="N142" s="5"/>
      <c r="O142" s="5"/>
    </row>
    <row r="143" spans="1:15" ht="14" customHeight="1" x14ac:dyDescent="0.45">
      <c r="A143" s="7">
        <v>45581</v>
      </c>
      <c r="B143" s="5" t="s">
        <v>136</v>
      </c>
      <c r="C143" s="5" t="s">
        <v>124</v>
      </c>
      <c r="D143" s="5">
        <v>2</v>
      </c>
      <c r="E143" s="5">
        <v>9</v>
      </c>
      <c r="F143" s="5">
        <v>1</v>
      </c>
      <c r="G143" s="7">
        <v>45762</v>
      </c>
      <c r="H143" s="5" t="s">
        <v>91</v>
      </c>
      <c r="I143" s="5">
        <v>1</v>
      </c>
      <c r="J143" s="5" t="s">
        <v>60</v>
      </c>
      <c r="K143" s="6">
        <f>IF(J143=[13]Legend!$A$67,[13]Legend!$B$67,(IF(J143=[13]Legend!$A$68,[13]Legend!$B$68,IF(J143=[13]Legend!$A$69, [13]Legend!$B$69, IF(J143=[13]Legend!$A$70, [13]Legend!$B$70, IF(J143=[13]Legend!$A$71, [13]Legend!$B$71, IF(J143=[13]Legend!$A$72, [13]Legend!$B$72, IF(J143=[13]Legend!$A$73, [13]Legend!$B$73, (IF(J143=[13]Legend!$A$74, [13]Legend!$B$74, IF(J143=[13]Legend!$A$75, [13]Legend!$B$75, "")))))))))))</f>
        <v>25</v>
      </c>
      <c r="L143" s="5">
        <v>25</v>
      </c>
      <c r="M143" s="5">
        <v>1</v>
      </c>
      <c r="N143" s="5"/>
      <c r="O143" s="5"/>
    </row>
    <row r="144" spans="1:15" ht="14" customHeight="1" x14ac:dyDescent="0.45">
      <c r="A144" s="7">
        <v>45581</v>
      </c>
      <c r="B144" s="5" t="s">
        <v>136</v>
      </c>
      <c r="C144" s="5" t="s">
        <v>124</v>
      </c>
      <c r="D144" s="5">
        <v>2</v>
      </c>
      <c r="E144" s="5">
        <v>9</v>
      </c>
      <c r="F144" s="5">
        <v>1</v>
      </c>
      <c r="G144" s="7">
        <v>45762</v>
      </c>
      <c r="H144" s="5" t="s">
        <v>91</v>
      </c>
      <c r="I144" s="5">
        <v>1</v>
      </c>
      <c r="J144" s="5" t="s">
        <v>18</v>
      </c>
      <c r="K144" s="6">
        <f>IF(J144=[13]Legend!$A$67,[13]Legend!$B$67,(IF(J144=[13]Legend!$A$68,[13]Legend!$B$68,IF(J144=[13]Legend!$A$69, [13]Legend!$B$69, IF(J144=[13]Legend!$A$70, [13]Legend!$B$70, IF(J144=[13]Legend!$A$71, [13]Legend!$B$71, IF(J144=[13]Legend!$A$72, [13]Legend!$B$72, IF(J144=[13]Legend!$A$73, [13]Legend!$B$73, (IF(J144=[13]Legend!$A$74, [13]Legend!$B$74, IF(J144=[13]Legend!$A$75, [13]Legend!$B$75, "")))))))))))</f>
        <v>5</v>
      </c>
      <c r="L144" s="5">
        <v>5</v>
      </c>
      <c r="M144" s="5">
        <v>0</v>
      </c>
      <c r="N144" s="5"/>
      <c r="O144" s="5"/>
    </row>
    <row r="145" spans="1:15" ht="14" customHeight="1" x14ac:dyDescent="0.45">
      <c r="A145" s="7">
        <v>45581</v>
      </c>
      <c r="B145" s="5" t="s">
        <v>136</v>
      </c>
      <c r="C145" s="5" t="s">
        <v>124</v>
      </c>
      <c r="D145" s="5">
        <v>2</v>
      </c>
      <c r="E145" s="5">
        <v>9</v>
      </c>
      <c r="F145" s="5">
        <v>1</v>
      </c>
      <c r="G145" s="7">
        <v>45762</v>
      </c>
      <c r="H145" s="5" t="s">
        <v>91</v>
      </c>
      <c r="I145" s="5">
        <v>1</v>
      </c>
      <c r="J145" s="5" t="s">
        <v>69</v>
      </c>
      <c r="K145" s="6">
        <f>IF(J145=[13]Legend!$A$67,[13]Legend!$B$67,(IF(J145=[13]Legend!$A$68,[13]Legend!$B$68,IF(J145=[13]Legend!$A$69, [13]Legend!$B$69, IF(J145=[13]Legend!$A$70, [13]Legend!$B$70, IF(J145=[13]Legend!$A$71, [13]Legend!$B$71, IF(J145=[13]Legend!$A$72, [13]Legend!$B$72, IF(J145=[13]Legend!$A$73, [13]Legend!$B$73, (IF(J145=[13]Legend!$A$74, [13]Legend!$B$74, IF(J145=[13]Legend!$A$75, [13]Legend!$B$75, "")))))))))))</f>
        <v>120</v>
      </c>
      <c r="L145" s="5">
        <v>120</v>
      </c>
      <c r="M145" s="5">
        <v>0</v>
      </c>
      <c r="N145" s="5"/>
      <c r="O145" s="5"/>
    </row>
    <row r="146" spans="1:15" ht="14" customHeight="1" x14ac:dyDescent="0.45">
      <c r="A146" s="7">
        <v>45574</v>
      </c>
      <c r="B146" s="5" t="s">
        <v>136</v>
      </c>
      <c r="C146" s="5" t="s">
        <v>90</v>
      </c>
      <c r="D146" s="20">
        <v>1</v>
      </c>
      <c r="E146" s="5">
        <v>9</v>
      </c>
      <c r="F146" s="5">
        <v>2</v>
      </c>
      <c r="G146" s="7">
        <v>45777</v>
      </c>
      <c r="H146" s="5" t="s">
        <v>91</v>
      </c>
      <c r="I146" s="5">
        <v>1</v>
      </c>
      <c r="J146" s="5" t="s">
        <v>60</v>
      </c>
      <c r="K146" s="6">
        <f>IF(J146=[13]Legend!$A$67,[13]Legend!$B$67,(IF(J146=[13]Legend!$A$68,[13]Legend!$B$68,IF(J146=[13]Legend!$A$69, [13]Legend!$B$69, IF(J146=[13]Legend!$A$70, [13]Legend!$B$70, IF(J146=[13]Legend!$A$71, [13]Legend!$B$71, IF(J146=[13]Legend!$A$72, [13]Legend!$B$72, IF(J146=[13]Legend!$A$73, [13]Legend!$B$73, (IF(J146=[13]Legend!$A$74, [13]Legend!$B$74, IF(J146=[13]Legend!$A$75, [13]Legend!$B$75, "")))))))))))</f>
        <v>25</v>
      </c>
      <c r="L146" s="5">
        <v>25</v>
      </c>
      <c r="M146" s="5">
        <v>1</v>
      </c>
      <c r="N146" s="5" t="s">
        <v>21</v>
      </c>
      <c r="O146" s="5"/>
    </row>
    <row r="147" spans="1:15" ht="14" customHeight="1" x14ac:dyDescent="0.45">
      <c r="A147" s="7">
        <v>45574</v>
      </c>
      <c r="B147" s="5" t="s">
        <v>136</v>
      </c>
      <c r="C147" s="5" t="s">
        <v>90</v>
      </c>
      <c r="D147" s="20">
        <v>1</v>
      </c>
      <c r="E147" s="5">
        <v>9</v>
      </c>
      <c r="F147" s="5">
        <v>2</v>
      </c>
      <c r="G147" s="7">
        <v>45777</v>
      </c>
      <c r="H147" s="5" t="s">
        <v>91</v>
      </c>
      <c r="I147" s="5">
        <v>1</v>
      </c>
      <c r="J147" s="5" t="s">
        <v>18</v>
      </c>
      <c r="K147" s="6">
        <f>IF(J147=[13]Legend!$A$67,[13]Legend!$B$67,(IF(J147=[13]Legend!$A$68,[13]Legend!$B$68,IF(J147=[13]Legend!$A$69, [13]Legend!$B$69, IF(J147=[13]Legend!$A$70, [13]Legend!$B$70, IF(J147=[13]Legend!$A$71, [13]Legend!$B$71, IF(J147=[13]Legend!$A$72, [13]Legend!$B$72, IF(J147=[13]Legend!$A$73, [13]Legend!$B$73, (IF(J147=[13]Legend!$A$74, [13]Legend!$B$74, IF(J147=[13]Legend!$A$75, [13]Legend!$B$75, "")))))))))))</f>
        <v>5</v>
      </c>
      <c r="L147" s="5">
        <v>5</v>
      </c>
      <c r="M147" s="5">
        <v>0</v>
      </c>
      <c r="N147" s="5"/>
      <c r="O147" s="5"/>
    </row>
    <row r="148" spans="1:15" ht="14" customHeight="1" x14ac:dyDescent="0.45">
      <c r="A148" s="7">
        <v>45574</v>
      </c>
      <c r="B148" s="16" t="s">
        <v>136</v>
      </c>
      <c r="C148" s="16" t="s">
        <v>90</v>
      </c>
      <c r="D148" s="24">
        <v>1</v>
      </c>
      <c r="E148" s="16">
        <v>9</v>
      </c>
      <c r="F148" s="16">
        <v>2</v>
      </c>
      <c r="G148" s="18">
        <v>45777</v>
      </c>
      <c r="H148" s="16" t="s">
        <v>91</v>
      </c>
      <c r="I148" s="16">
        <v>1</v>
      </c>
      <c r="J148" s="5" t="s">
        <v>69</v>
      </c>
      <c r="K148" s="6">
        <f>IF(J148=[13]Legend!$A$67,[13]Legend!$B$67,(IF(J148=[13]Legend!$A$68,[13]Legend!$B$68,IF(J148=[13]Legend!$A$69, [13]Legend!$B$69, IF(J148=[13]Legend!$A$70, [13]Legend!$B$70, IF(J148=[13]Legend!$A$71, [13]Legend!$B$71, IF(J148=[13]Legend!$A$72, [13]Legend!$B$72, IF(J148=[13]Legend!$A$73, [13]Legend!$B$73, (IF(J148=[13]Legend!$A$74, [13]Legend!$B$74, IF(J148=[13]Legend!$A$75, [13]Legend!$B$75, "")))))))))))</f>
        <v>120</v>
      </c>
      <c r="L148" s="5">
        <v>120</v>
      </c>
      <c r="M148" s="5">
        <v>0</v>
      </c>
      <c r="N148" s="5"/>
      <c r="O148" s="5"/>
    </row>
    <row r="149" spans="1:15" ht="14" customHeight="1" x14ac:dyDescent="0.45">
      <c r="A149" s="7">
        <v>45581</v>
      </c>
      <c r="B149" s="5" t="s">
        <v>136</v>
      </c>
      <c r="C149" s="5" t="s">
        <v>124</v>
      </c>
      <c r="D149" s="5">
        <v>2</v>
      </c>
      <c r="E149" s="5">
        <v>9</v>
      </c>
      <c r="F149" s="5">
        <v>2</v>
      </c>
      <c r="G149" s="7">
        <v>45777</v>
      </c>
      <c r="H149" s="5" t="s">
        <v>91</v>
      </c>
      <c r="I149" s="5">
        <v>1</v>
      </c>
      <c r="J149" s="5" t="s">
        <v>60</v>
      </c>
      <c r="K149" s="6">
        <f>IF(J149=[13]Legend!$A$67,[13]Legend!$B$67,(IF(J149=[13]Legend!$A$68,[13]Legend!$B$68,IF(J149=[13]Legend!$A$69, [13]Legend!$B$69, IF(J149=[13]Legend!$A$70, [13]Legend!$B$70, IF(J149=[13]Legend!$A$71, [13]Legend!$B$71, IF(J149=[13]Legend!$A$72, [13]Legend!$B$72, IF(J149=[13]Legend!$A$73, [13]Legend!$B$73, (IF(J149=[13]Legend!$A$74, [13]Legend!$B$74, IF(J149=[13]Legend!$A$75, [13]Legend!$B$75, "")))))))))))</f>
        <v>25</v>
      </c>
      <c r="L149" s="5">
        <v>25</v>
      </c>
      <c r="M149" s="5">
        <v>0</v>
      </c>
      <c r="N149" s="5"/>
      <c r="O149" s="5"/>
    </row>
    <row r="150" spans="1:15" ht="14" customHeight="1" x14ac:dyDescent="0.45">
      <c r="A150" s="7">
        <v>45581</v>
      </c>
      <c r="B150" s="5" t="s">
        <v>136</v>
      </c>
      <c r="C150" s="5" t="s">
        <v>124</v>
      </c>
      <c r="D150" s="5">
        <v>2</v>
      </c>
      <c r="E150" s="5">
        <v>9</v>
      </c>
      <c r="F150" s="5">
        <v>2</v>
      </c>
      <c r="G150" s="7">
        <v>45777</v>
      </c>
      <c r="H150" s="5" t="s">
        <v>91</v>
      </c>
      <c r="I150" s="5">
        <v>1</v>
      </c>
      <c r="J150" s="5" t="s">
        <v>18</v>
      </c>
      <c r="K150" s="6">
        <f>IF(J150=[13]Legend!$A$67,[13]Legend!$B$67,(IF(J150=[13]Legend!$A$68,[13]Legend!$B$68,IF(J150=[13]Legend!$A$69, [13]Legend!$B$69, IF(J150=[13]Legend!$A$70, [13]Legend!$B$70, IF(J150=[13]Legend!$A$71, [13]Legend!$B$71, IF(J150=[13]Legend!$A$72, [13]Legend!$B$72, IF(J150=[13]Legend!$A$73, [13]Legend!$B$73, (IF(J150=[13]Legend!$A$74, [13]Legend!$B$74, IF(J150=[13]Legend!$A$75, [13]Legend!$B$75, "")))))))))))</f>
        <v>5</v>
      </c>
      <c r="L150" s="5">
        <v>5</v>
      </c>
      <c r="M150" s="5">
        <v>0</v>
      </c>
      <c r="N150" s="5"/>
      <c r="O150" s="5"/>
    </row>
    <row r="151" spans="1:15" ht="14" customHeight="1" x14ac:dyDescent="0.45">
      <c r="A151" s="7">
        <v>45581</v>
      </c>
      <c r="B151" s="5" t="s">
        <v>136</v>
      </c>
      <c r="C151" s="5" t="s">
        <v>124</v>
      </c>
      <c r="D151" s="5">
        <v>2</v>
      </c>
      <c r="E151" s="5">
        <v>9</v>
      </c>
      <c r="F151" s="5">
        <v>2</v>
      </c>
      <c r="G151" s="7">
        <v>45777</v>
      </c>
      <c r="H151" s="5" t="s">
        <v>91</v>
      </c>
      <c r="I151" s="5">
        <v>1</v>
      </c>
      <c r="J151" s="5" t="s">
        <v>69</v>
      </c>
      <c r="K151" s="6">
        <f>IF(J151=[13]Legend!$A$67,[13]Legend!$B$67,(IF(J151=[13]Legend!$A$68,[13]Legend!$B$68,IF(J151=[13]Legend!$A$69, [13]Legend!$B$69, IF(J151=[13]Legend!$A$70, [13]Legend!$B$70, IF(J151=[13]Legend!$A$71, [13]Legend!$B$71, IF(J151=[13]Legend!$A$72, [13]Legend!$B$72, IF(J151=[13]Legend!$A$73, [13]Legend!$B$73, (IF(J151=[13]Legend!$A$74, [13]Legend!$B$74, IF(J151=[13]Legend!$A$75, [13]Legend!$B$75, "")))))))))))</f>
        <v>120</v>
      </c>
      <c r="L151" s="5">
        <v>120</v>
      </c>
      <c r="M151" s="5">
        <v>0</v>
      </c>
      <c r="N151" s="5"/>
      <c r="O151" s="5"/>
    </row>
    <row r="152" spans="1:15" ht="14" customHeight="1" x14ac:dyDescent="0.45">
      <c r="A152" s="7">
        <v>45574</v>
      </c>
      <c r="B152" s="5" t="s">
        <v>136</v>
      </c>
      <c r="C152" s="5" t="s">
        <v>90</v>
      </c>
      <c r="D152" s="20">
        <v>1</v>
      </c>
      <c r="E152" s="5">
        <v>9</v>
      </c>
      <c r="F152" s="5">
        <v>1</v>
      </c>
      <c r="G152" s="7">
        <v>45782</v>
      </c>
      <c r="H152" s="5" t="s">
        <v>91</v>
      </c>
      <c r="I152" s="5">
        <v>1</v>
      </c>
      <c r="J152" s="5" t="s">
        <v>60</v>
      </c>
      <c r="K152" s="6">
        <f>IF(J152=[13]Legend!$A$67,[13]Legend!$B$67,(IF(J152=[13]Legend!$A$68,[13]Legend!$B$68,IF(J152=[13]Legend!$A$69, [13]Legend!$B$69, IF(J152=[13]Legend!$A$70, [13]Legend!$B$70, IF(J152=[13]Legend!$A$71, [13]Legend!$B$71, IF(J152=[13]Legend!$A$72, [13]Legend!$B$72, IF(J152=[13]Legend!$A$73, [13]Legend!$B$73, (IF(J152=[13]Legend!$A$74, [13]Legend!$B$74, IF(J152=[13]Legend!$A$75, [13]Legend!$B$75, "")))))))))))</f>
        <v>25</v>
      </c>
      <c r="L152" s="5">
        <v>25</v>
      </c>
      <c r="M152" s="5">
        <v>0</v>
      </c>
      <c r="N152" s="5"/>
      <c r="O152" s="5"/>
    </row>
    <row r="153" spans="1:15" ht="14" customHeight="1" x14ac:dyDescent="0.45">
      <c r="A153" s="7">
        <v>45574</v>
      </c>
      <c r="B153" s="5" t="s">
        <v>136</v>
      </c>
      <c r="C153" s="5" t="s">
        <v>90</v>
      </c>
      <c r="D153" s="20">
        <v>1</v>
      </c>
      <c r="E153" s="5">
        <v>9</v>
      </c>
      <c r="F153" s="5">
        <v>1</v>
      </c>
      <c r="G153" s="7">
        <v>45782</v>
      </c>
      <c r="H153" s="5" t="s">
        <v>91</v>
      </c>
      <c r="I153" s="5">
        <v>1</v>
      </c>
      <c r="J153" s="5" t="s">
        <v>18</v>
      </c>
      <c r="K153" s="6">
        <f>IF(J153=[13]Legend!$A$67,[13]Legend!$B$67,(IF(J153=[13]Legend!$A$68,[13]Legend!$B$68,IF(J153=[13]Legend!$A$69, [13]Legend!$B$69, IF(J153=[13]Legend!$A$70, [13]Legend!$B$70, IF(J153=[13]Legend!$A$71, [13]Legend!$B$71, IF(J153=[13]Legend!$A$72, [13]Legend!$B$72, IF(J153=[13]Legend!$A$73, [13]Legend!$B$73, (IF(J153=[13]Legend!$A$74, [13]Legend!$B$74, IF(J153=[13]Legend!$A$75, [13]Legend!$B$75, "")))))))))))</f>
        <v>5</v>
      </c>
      <c r="L153" s="5">
        <v>5</v>
      </c>
      <c r="M153" s="5">
        <v>0</v>
      </c>
      <c r="N153" s="5"/>
      <c r="O153" s="5"/>
    </row>
    <row r="154" spans="1:15" ht="14" customHeight="1" x14ac:dyDescent="0.45">
      <c r="A154" s="7">
        <v>45574</v>
      </c>
      <c r="B154" s="5" t="s">
        <v>136</v>
      </c>
      <c r="C154" s="5" t="s">
        <v>90</v>
      </c>
      <c r="D154" s="20">
        <v>1</v>
      </c>
      <c r="E154" s="5">
        <v>9</v>
      </c>
      <c r="F154" s="5">
        <v>1</v>
      </c>
      <c r="G154" s="7">
        <v>45782</v>
      </c>
      <c r="H154" s="5" t="s">
        <v>91</v>
      </c>
      <c r="I154" s="5">
        <v>1</v>
      </c>
      <c r="J154" s="5" t="s">
        <v>69</v>
      </c>
      <c r="K154" s="6">
        <f>IF(J154=[13]Legend!$A$67,[13]Legend!$B$67,(IF(J154=[13]Legend!$A$68,[13]Legend!$B$68,IF(J154=[13]Legend!$A$69, [13]Legend!$B$69, IF(J154=[13]Legend!$A$70, [13]Legend!$B$70, IF(J154=[13]Legend!$A$71, [13]Legend!$B$71, IF(J154=[13]Legend!$A$72, [13]Legend!$B$72, IF(J154=[13]Legend!$A$73, [13]Legend!$B$73, (IF(J154=[13]Legend!$A$74, [13]Legend!$B$74, IF(J154=[13]Legend!$A$75, [13]Legend!$B$75, "")))))))))))</f>
        <v>120</v>
      </c>
      <c r="L154" s="5">
        <v>120</v>
      </c>
      <c r="M154" s="5">
        <v>0</v>
      </c>
      <c r="N154" s="5"/>
      <c r="O154" s="5"/>
    </row>
    <row r="155" spans="1:15" ht="14" customHeight="1" x14ac:dyDescent="0.45">
      <c r="A155" s="7">
        <v>45588</v>
      </c>
      <c r="B155" s="5" t="s">
        <v>136</v>
      </c>
      <c r="C155" s="5" t="s">
        <v>16</v>
      </c>
      <c r="D155" s="5">
        <v>3</v>
      </c>
      <c r="E155" s="5">
        <v>9</v>
      </c>
      <c r="F155" s="5">
        <v>2</v>
      </c>
      <c r="G155" s="7">
        <v>45740</v>
      </c>
      <c r="H155" s="5" t="s">
        <v>91</v>
      </c>
      <c r="I155" s="5">
        <v>1</v>
      </c>
      <c r="J155" s="5" t="s">
        <v>60</v>
      </c>
      <c r="K155" s="6">
        <f>IF(J155=[11]Legend!$A$67,[11]Legend!$B$67,(IF(J155=[11]Legend!$A$68,[11]Legend!$B$68,IF(J155=[11]Legend!$A$69, [11]Legend!$B$69, IF(J155=[11]Legend!$A$70, [11]Legend!$B$70, IF(J155=[11]Legend!$A$71, [11]Legend!$B$71, IF(J155=[11]Legend!$A$72, [11]Legend!$B$72, IF(J155=[11]Legend!$A$73, [11]Legend!$B$73, (IF(J155=[11]Legend!$A$74, [11]Legend!$B$74, IF(J155=[11]Legend!$A$75, [11]Legend!$B$75, "")))))))))))</f>
        <v>25</v>
      </c>
      <c r="L155" s="5">
        <v>25</v>
      </c>
      <c r="M155" s="5">
        <v>0</v>
      </c>
      <c r="N155" s="5"/>
      <c r="O155" s="5"/>
    </row>
    <row r="156" spans="1:15" ht="14" customHeight="1" x14ac:dyDescent="0.45">
      <c r="A156" s="7">
        <v>45588</v>
      </c>
      <c r="B156" s="5" t="s">
        <v>136</v>
      </c>
      <c r="C156" s="5" t="s">
        <v>16</v>
      </c>
      <c r="D156" s="5">
        <v>3</v>
      </c>
      <c r="E156" s="5">
        <v>9</v>
      </c>
      <c r="F156" s="5">
        <v>2</v>
      </c>
      <c r="G156" s="7">
        <v>45740</v>
      </c>
      <c r="H156" s="5" t="s">
        <v>91</v>
      </c>
      <c r="I156" s="5">
        <v>1</v>
      </c>
      <c r="J156" s="5" t="s">
        <v>18</v>
      </c>
      <c r="K156" s="6">
        <f>IF(J156=[11]Legend!$A$67,[11]Legend!$B$67,(IF(J156=[11]Legend!$A$68,[11]Legend!$B$68,IF(J156=[11]Legend!$A$69, [11]Legend!$B$69, IF(J156=[11]Legend!$A$70, [11]Legend!$B$70, IF(J156=[11]Legend!$A$71, [11]Legend!$B$71, IF(J156=[11]Legend!$A$72, [11]Legend!$B$72, IF(J156=[11]Legend!$A$73, [11]Legend!$B$73, (IF(J156=[11]Legend!$A$74, [11]Legend!$B$74, IF(J156=[11]Legend!$A$75, [11]Legend!$B$75, "")))))))))))</f>
        <v>5</v>
      </c>
      <c r="L156" s="5">
        <v>5</v>
      </c>
      <c r="M156" s="5">
        <v>0</v>
      </c>
      <c r="N156" s="5"/>
      <c r="O156" s="5"/>
    </row>
    <row r="157" spans="1:15" ht="14" customHeight="1" x14ac:dyDescent="0.45">
      <c r="A157" s="7">
        <v>45588</v>
      </c>
      <c r="B157" s="5" t="s">
        <v>136</v>
      </c>
      <c r="C157" s="5" t="s">
        <v>16</v>
      </c>
      <c r="D157" s="5">
        <v>3</v>
      </c>
      <c r="E157" s="5">
        <v>9</v>
      </c>
      <c r="F157" s="5">
        <v>2</v>
      </c>
      <c r="G157" s="7">
        <v>45740</v>
      </c>
      <c r="H157" s="5" t="s">
        <v>91</v>
      </c>
      <c r="I157" s="5">
        <v>1</v>
      </c>
      <c r="J157" s="5" t="s">
        <v>69</v>
      </c>
      <c r="K157" s="6">
        <f>IF(J157=[11]Legend!$A$67,[11]Legend!$B$67,(IF(J157=[11]Legend!$A$68,[11]Legend!$B$68,IF(J157=[11]Legend!$A$69, [11]Legend!$B$69, IF(J157=[11]Legend!$A$70, [11]Legend!$B$70, IF(J157=[11]Legend!$A$71, [11]Legend!$B$71, IF(J157=[11]Legend!$A$72, [11]Legend!$B$72, IF(J157=[11]Legend!$A$73, [11]Legend!$B$73, (IF(J157=[11]Legend!$A$74, [11]Legend!$B$74, IF(J157=[11]Legend!$A$75, [11]Legend!$B$75, "")))))))))))</f>
        <v>120</v>
      </c>
      <c r="L157" s="5">
        <v>120</v>
      </c>
      <c r="M157" s="5">
        <v>0</v>
      </c>
      <c r="N157" s="5"/>
      <c r="O157" s="5"/>
    </row>
    <row r="158" spans="1:15" ht="14" customHeight="1" x14ac:dyDescent="0.45">
      <c r="A158" s="7">
        <v>45588</v>
      </c>
      <c r="B158" s="5" t="s">
        <v>136</v>
      </c>
      <c r="C158" s="5" t="s">
        <v>124</v>
      </c>
      <c r="D158" s="5">
        <v>3</v>
      </c>
      <c r="E158" s="5">
        <v>9</v>
      </c>
      <c r="F158" s="5">
        <v>1</v>
      </c>
      <c r="G158" s="7">
        <v>45740</v>
      </c>
      <c r="H158" s="5" t="s">
        <v>91</v>
      </c>
      <c r="I158" s="5">
        <v>1</v>
      </c>
      <c r="J158" s="5" t="s">
        <v>60</v>
      </c>
      <c r="K158" s="6">
        <f>IF(J158=[11]Legend!$A$67,[11]Legend!$B$67,(IF(J158=[11]Legend!$A$68,[11]Legend!$B$68,IF(J158=[11]Legend!$A$69, [11]Legend!$B$69, IF(J158=[11]Legend!$A$70, [11]Legend!$B$70, IF(J158=[11]Legend!$A$71, [11]Legend!$B$71, IF(J158=[11]Legend!$A$72, [11]Legend!$B$72, IF(J158=[11]Legend!$A$73, [11]Legend!$B$73, (IF(J158=[11]Legend!$A$74, [11]Legend!$B$74, IF(J158=[11]Legend!$A$75, [11]Legend!$B$75, "")))))))))))</f>
        <v>25</v>
      </c>
      <c r="L158" s="5">
        <v>25</v>
      </c>
      <c r="M158" s="5">
        <v>0</v>
      </c>
      <c r="N158" s="5"/>
      <c r="O158" s="5"/>
    </row>
    <row r="159" spans="1:15" ht="14" customHeight="1" x14ac:dyDescent="0.45">
      <c r="A159" s="7">
        <v>45588</v>
      </c>
      <c r="B159" s="5" t="s">
        <v>136</v>
      </c>
      <c r="C159" s="5" t="s">
        <v>124</v>
      </c>
      <c r="D159" s="5">
        <v>3</v>
      </c>
      <c r="E159" s="5">
        <v>9</v>
      </c>
      <c r="F159" s="5">
        <v>1</v>
      </c>
      <c r="G159" s="7">
        <v>45740</v>
      </c>
      <c r="H159" s="5" t="s">
        <v>91</v>
      </c>
      <c r="I159" s="5">
        <v>1</v>
      </c>
      <c r="J159" s="5" t="s">
        <v>18</v>
      </c>
      <c r="K159" s="6">
        <f>IF(J159=[11]Legend!$A$67,[11]Legend!$B$67,(IF(J159=[11]Legend!$A$68,[11]Legend!$B$68,IF(J159=[11]Legend!$A$69, [11]Legend!$B$69, IF(J159=[11]Legend!$A$70, [11]Legend!$B$70, IF(J159=[11]Legend!$A$71, [11]Legend!$B$71, IF(J159=[11]Legend!$A$72, [11]Legend!$B$72, IF(J159=[11]Legend!$A$73, [11]Legend!$B$73, (IF(J159=[11]Legend!$A$74, [11]Legend!$B$74, IF(J159=[11]Legend!$A$75, [11]Legend!$B$75, "")))))))))))</f>
        <v>5</v>
      </c>
      <c r="L159" s="5">
        <v>5</v>
      </c>
      <c r="M159" s="5">
        <v>1</v>
      </c>
      <c r="N159" s="5"/>
      <c r="O159" s="5"/>
    </row>
    <row r="160" spans="1:15" ht="14" customHeight="1" x14ac:dyDescent="0.45">
      <c r="A160" s="7">
        <v>45588</v>
      </c>
      <c r="B160" s="5" t="s">
        <v>136</v>
      </c>
      <c r="C160" s="5" t="s">
        <v>124</v>
      </c>
      <c r="D160" s="5">
        <v>3</v>
      </c>
      <c r="E160" s="5">
        <v>9</v>
      </c>
      <c r="F160" s="5">
        <v>1</v>
      </c>
      <c r="G160" s="7">
        <v>45740</v>
      </c>
      <c r="H160" s="5" t="s">
        <v>91</v>
      </c>
      <c r="I160" s="5">
        <v>1</v>
      </c>
      <c r="J160" s="5" t="s">
        <v>69</v>
      </c>
      <c r="K160" s="6">
        <f>IF(J160=[11]Legend!$A$67,[11]Legend!$B$67,(IF(J160=[11]Legend!$A$68,[11]Legend!$B$68,IF(J160=[11]Legend!$A$69, [11]Legend!$B$69, IF(J160=[11]Legend!$A$70, [11]Legend!$B$70, IF(J160=[11]Legend!$A$71, [11]Legend!$B$71, IF(J160=[11]Legend!$A$72, [11]Legend!$B$72, IF(J160=[11]Legend!$A$73, [11]Legend!$B$73, (IF(J160=[11]Legend!$A$74, [11]Legend!$B$74, IF(J160=[11]Legend!$A$75, [11]Legend!$B$75, "")))))))))))</f>
        <v>120</v>
      </c>
      <c r="L160" s="5">
        <v>120</v>
      </c>
      <c r="M160" s="5">
        <v>0</v>
      </c>
      <c r="N160" s="5"/>
      <c r="O160" s="5"/>
    </row>
    <row r="161" spans="1:15" ht="14" customHeight="1" x14ac:dyDescent="0.45">
      <c r="A161" s="7">
        <v>45574</v>
      </c>
      <c r="B161" s="5" t="s">
        <v>136</v>
      </c>
      <c r="C161" s="5" t="s">
        <v>90</v>
      </c>
      <c r="D161" s="25">
        <v>1</v>
      </c>
      <c r="E161" s="5">
        <v>10</v>
      </c>
      <c r="F161" s="5">
        <v>1</v>
      </c>
      <c r="G161" s="7">
        <v>45775</v>
      </c>
      <c r="H161" s="5" t="s">
        <v>91</v>
      </c>
      <c r="I161" s="5">
        <v>1</v>
      </c>
      <c r="J161" s="5" t="s">
        <v>60</v>
      </c>
      <c r="K161" s="6">
        <f>IF(J161=[13]Legend!$A$67,[13]Legend!$B$67,(IF(J161=[13]Legend!$A$68,[13]Legend!$B$68,IF(J161=[13]Legend!$A$69, [13]Legend!$B$69, IF(J161=[13]Legend!$A$70, [13]Legend!$B$70, IF(J161=[13]Legend!$A$71, [13]Legend!$B$71, IF(J161=[13]Legend!$A$72, [13]Legend!$B$72, IF(J161=[13]Legend!$A$73, [13]Legend!$B$73, (IF(J161=[13]Legend!$A$74, [13]Legend!$B$74, IF(J161=[13]Legend!$A$75, [13]Legend!$B$75, "")))))))))))</f>
        <v>25</v>
      </c>
      <c r="L161" s="5">
        <v>25</v>
      </c>
      <c r="M161" s="5">
        <v>0</v>
      </c>
      <c r="N161" s="5"/>
      <c r="O161" s="5"/>
    </row>
    <row r="162" spans="1:15" ht="14" customHeight="1" x14ac:dyDescent="0.45">
      <c r="A162" s="7">
        <v>45574</v>
      </c>
      <c r="B162" s="5" t="s">
        <v>136</v>
      </c>
      <c r="C162" s="5" t="s">
        <v>90</v>
      </c>
      <c r="D162" s="25">
        <v>1</v>
      </c>
      <c r="E162" s="5">
        <v>10</v>
      </c>
      <c r="F162" s="5">
        <v>1</v>
      </c>
      <c r="G162" s="7">
        <v>45775</v>
      </c>
      <c r="H162" s="5" t="s">
        <v>91</v>
      </c>
      <c r="I162" s="5">
        <v>1</v>
      </c>
      <c r="J162" s="5" t="s">
        <v>18</v>
      </c>
      <c r="K162" s="6">
        <f>IF(J162=[13]Legend!$A$67,[13]Legend!$B$67,(IF(J162=[13]Legend!$A$68,[13]Legend!$B$68,IF(J162=[13]Legend!$A$69, [13]Legend!$B$69, IF(J162=[13]Legend!$A$70, [13]Legend!$B$70, IF(J162=[13]Legend!$A$71, [13]Legend!$B$71, IF(J162=[13]Legend!$A$72, [13]Legend!$B$72, IF(J162=[13]Legend!$A$73, [13]Legend!$B$73, (IF(J162=[13]Legend!$A$74, [13]Legend!$B$74, IF(J162=[13]Legend!$A$75, [13]Legend!$B$75, "")))))))))))</f>
        <v>5</v>
      </c>
      <c r="L162" s="5">
        <v>5</v>
      </c>
      <c r="M162" s="5">
        <v>0</v>
      </c>
      <c r="N162" s="5"/>
      <c r="O162" s="5"/>
    </row>
    <row r="163" spans="1:15" ht="14" customHeight="1" x14ac:dyDescent="0.45">
      <c r="A163" s="7">
        <v>45574</v>
      </c>
      <c r="B163" s="5" t="s">
        <v>136</v>
      </c>
      <c r="C163" s="5" t="s">
        <v>90</v>
      </c>
      <c r="D163" s="25">
        <v>1</v>
      </c>
      <c r="E163" s="5">
        <v>10</v>
      </c>
      <c r="F163" s="5">
        <v>1</v>
      </c>
      <c r="G163" s="7">
        <v>45775</v>
      </c>
      <c r="H163" s="5" t="s">
        <v>91</v>
      </c>
      <c r="I163" s="5">
        <v>1</v>
      </c>
      <c r="J163" s="5" t="s">
        <v>69</v>
      </c>
      <c r="K163" s="6">
        <f>IF(J163=[13]Legend!$A$67,[13]Legend!$B$67,(IF(J163=[13]Legend!$A$68,[13]Legend!$B$68,IF(J163=[13]Legend!$A$69, [13]Legend!$B$69, IF(J163=[13]Legend!$A$70, [13]Legend!$B$70, IF(J163=[13]Legend!$A$71, [13]Legend!$B$71, IF(J163=[13]Legend!$A$72, [13]Legend!$B$72, IF(J163=[13]Legend!$A$73, [13]Legend!$B$73, (IF(J163=[13]Legend!$A$74, [13]Legend!$B$74, IF(J163=[13]Legend!$A$75, [13]Legend!$B$75, "")))))))))))</f>
        <v>120</v>
      </c>
      <c r="L163" s="5">
        <v>120</v>
      </c>
      <c r="M163" s="5">
        <v>0</v>
      </c>
      <c r="N163" s="5"/>
      <c r="O163" s="5"/>
    </row>
    <row r="164" spans="1:15" ht="14" customHeight="1" x14ac:dyDescent="0.45">
      <c r="A164" s="7">
        <v>45581</v>
      </c>
      <c r="B164" s="5" t="s">
        <v>136</v>
      </c>
      <c r="C164" s="5" t="s">
        <v>124</v>
      </c>
      <c r="D164" s="25">
        <v>2</v>
      </c>
      <c r="E164" s="5">
        <v>10</v>
      </c>
      <c r="F164" s="5">
        <v>2</v>
      </c>
      <c r="G164" s="7">
        <v>45776</v>
      </c>
      <c r="H164" s="5" t="s">
        <v>91</v>
      </c>
      <c r="I164" s="5">
        <v>1</v>
      </c>
      <c r="J164" s="5" t="s">
        <v>60</v>
      </c>
      <c r="K164" s="6">
        <f>IF(J164=[13]Legend!$A$67,[13]Legend!$B$67,(IF(J164=[13]Legend!$A$68,[13]Legend!$B$68,IF(J164=[13]Legend!$A$69, [13]Legend!$B$69, IF(J164=[13]Legend!$A$70, [13]Legend!$B$70, IF(J164=[13]Legend!$A$71, [13]Legend!$B$71, IF(J164=[13]Legend!$A$72, [13]Legend!$B$72, IF(J164=[13]Legend!$A$73, [13]Legend!$B$73, (IF(J164=[13]Legend!$A$74, [13]Legend!$B$74, IF(J164=[13]Legend!$A$75, [13]Legend!$B$75, "")))))))))))</f>
        <v>25</v>
      </c>
      <c r="L164" s="5">
        <v>25</v>
      </c>
      <c r="M164" s="5">
        <v>2</v>
      </c>
      <c r="N164" s="5" t="s">
        <v>30</v>
      </c>
      <c r="O164" s="5"/>
    </row>
    <row r="165" spans="1:15" ht="14" customHeight="1" x14ac:dyDescent="0.45">
      <c r="A165" s="7">
        <v>45581</v>
      </c>
      <c r="B165" s="5" t="s">
        <v>136</v>
      </c>
      <c r="C165" s="5" t="s">
        <v>124</v>
      </c>
      <c r="D165" s="25">
        <v>2</v>
      </c>
      <c r="E165" s="5">
        <v>10</v>
      </c>
      <c r="F165" s="5">
        <v>2</v>
      </c>
      <c r="G165" s="7">
        <v>45776</v>
      </c>
      <c r="H165" s="5" t="s">
        <v>91</v>
      </c>
      <c r="I165" s="5">
        <v>1</v>
      </c>
      <c r="J165" s="5" t="s">
        <v>18</v>
      </c>
      <c r="K165" s="6">
        <f>IF(J165=[13]Legend!$A$67,[13]Legend!$B$67,(IF(J165=[13]Legend!$A$68,[13]Legend!$B$68,IF(J165=[13]Legend!$A$69, [13]Legend!$B$69, IF(J165=[13]Legend!$A$70, [13]Legend!$B$70, IF(J165=[13]Legend!$A$71, [13]Legend!$B$71, IF(J165=[13]Legend!$A$72, [13]Legend!$B$72, IF(J165=[13]Legend!$A$73, [13]Legend!$B$73, (IF(J165=[13]Legend!$A$74, [13]Legend!$B$74, IF(J165=[13]Legend!$A$75, [13]Legend!$B$75, "")))))))))))</f>
        <v>5</v>
      </c>
      <c r="L165" s="5">
        <v>5</v>
      </c>
      <c r="M165" s="5">
        <v>1</v>
      </c>
      <c r="N165" s="5" t="s">
        <v>30</v>
      </c>
      <c r="O165" s="5"/>
    </row>
    <row r="166" spans="1:15" ht="14" customHeight="1" x14ac:dyDescent="0.45">
      <c r="A166" s="7">
        <v>45581</v>
      </c>
      <c r="B166" s="5" t="s">
        <v>136</v>
      </c>
      <c r="C166" s="5" t="s">
        <v>124</v>
      </c>
      <c r="D166" s="25">
        <v>2</v>
      </c>
      <c r="E166" s="5">
        <v>10</v>
      </c>
      <c r="F166" s="5">
        <v>2</v>
      </c>
      <c r="G166" s="7">
        <v>45776</v>
      </c>
      <c r="H166" s="5" t="s">
        <v>91</v>
      </c>
      <c r="I166" s="5">
        <v>1</v>
      </c>
      <c r="J166" s="5" t="s">
        <v>69</v>
      </c>
      <c r="K166" s="6">
        <f>IF(J166=[13]Legend!$A$67,[13]Legend!$B$67,(IF(J166=[13]Legend!$A$68,[13]Legend!$B$68,IF(J166=[13]Legend!$A$69, [13]Legend!$B$69, IF(J166=[13]Legend!$A$70, [13]Legend!$B$70, IF(J166=[13]Legend!$A$71, [13]Legend!$B$71, IF(J166=[13]Legend!$A$72, [13]Legend!$B$72, IF(J166=[13]Legend!$A$73, [13]Legend!$B$73, (IF(J166=[13]Legend!$A$74, [13]Legend!$B$74, IF(J166=[13]Legend!$A$75, [13]Legend!$B$75, "")))))))))))</f>
        <v>120</v>
      </c>
      <c r="L166" s="5">
        <v>121</v>
      </c>
      <c r="M166" s="5">
        <v>0</v>
      </c>
      <c r="N166" s="5"/>
      <c r="O166" s="5"/>
    </row>
    <row r="167" spans="1:15" ht="14" customHeight="1" x14ac:dyDescent="0.45">
      <c r="A167" s="7">
        <v>45581</v>
      </c>
      <c r="B167" s="5" t="s">
        <v>136</v>
      </c>
      <c r="C167" s="5" t="s">
        <v>90</v>
      </c>
      <c r="D167" s="25">
        <v>2</v>
      </c>
      <c r="E167" s="5">
        <v>10</v>
      </c>
      <c r="F167" s="5">
        <v>2</v>
      </c>
      <c r="G167" s="7">
        <v>45782</v>
      </c>
      <c r="H167" s="5" t="s">
        <v>91</v>
      </c>
      <c r="I167" s="5">
        <v>1</v>
      </c>
      <c r="J167" s="5" t="s">
        <v>60</v>
      </c>
      <c r="K167" s="6">
        <f>IF(J167=[13]Legend!$A$67,[13]Legend!$B$67,(IF(J167=[13]Legend!$A$68,[13]Legend!$B$68,IF(J167=[13]Legend!$A$69, [13]Legend!$B$69, IF(J167=[13]Legend!$A$70, [13]Legend!$B$70, IF(J167=[13]Legend!$A$71, [13]Legend!$B$71, IF(J167=[13]Legend!$A$72, [13]Legend!$B$72, IF(J167=[13]Legend!$A$73, [13]Legend!$B$73, (IF(J167=[13]Legend!$A$74, [13]Legend!$B$74, IF(J167=[13]Legend!$A$75, [13]Legend!$B$75, "")))))))))))</f>
        <v>25</v>
      </c>
      <c r="L167" s="5">
        <v>25</v>
      </c>
      <c r="M167" s="5">
        <v>0</v>
      </c>
      <c r="N167" s="5"/>
      <c r="O167" s="5"/>
    </row>
    <row r="168" spans="1:15" ht="14" customHeight="1" x14ac:dyDescent="0.45">
      <c r="A168" s="7">
        <v>45581</v>
      </c>
      <c r="B168" s="5" t="s">
        <v>136</v>
      </c>
      <c r="C168" s="5" t="s">
        <v>90</v>
      </c>
      <c r="D168" s="25">
        <v>2</v>
      </c>
      <c r="E168" s="5">
        <v>10</v>
      </c>
      <c r="F168" s="5">
        <v>2</v>
      </c>
      <c r="G168" s="7">
        <v>45782</v>
      </c>
      <c r="H168" s="5" t="s">
        <v>91</v>
      </c>
      <c r="I168" s="5">
        <v>1</v>
      </c>
      <c r="J168" s="5" t="s">
        <v>18</v>
      </c>
      <c r="K168" s="6">
        <f>IF(J168=[13]Legend!$A$67,[13]Legend!$B$67,(IF(J168=[13]Legend!$A$68,[13]Legend!$B$68,IF(J168=[13]Legend!$A$69, [13]Legend!$B$69, IF(J168=[13]Legend!$A$70, [13]Legend!$B$70, IF(J168=[13]Legend!$A$71, [13]Legend!$B$71, IF(J168=[13]Legend!$A$72, [13]Legend!$B$72, IF(J168=[13]Legend!$A$73, [13]Legend!$B$73, (IF(J168=[13]Legend!$A$74, [13]Legend!$B$74, IF(J168=[13]Legend!$A$75, [13]Legend!$B$75, "")))))))))))</f>
        <v>5</v>
      </c>
      <c r="L168" s="5">
        <v>5</v>
      </c>
      <c r="M168" s="5">
        <v>0</v>
      </c>
      <c r="N168" s="5"/>
      <c r="O168" s="5"/>
    </row>
    <row r="169" spans="1:15" ht="14" customHeight="1" x14ac:dyDescent="0.45">
      <c r="A169" s="7">
        <v>45581</v>
      </c>
      <c r="B169" s="5" t="s">
        <v>136</v>
      </c>
      <c r="C169" s="5" t="s">
        <v>90</v>
      </c>
      <c r="D169" s="25">
        <v>2</v>
      </c>
      <c r="E169" s="5">
        <v>10</v>
      </c>
      <c r="F169" s="5">
        <v>2</v>
      </c>
      <c r="G169" s="7">
        <v>45782</v>
      </c>
      <c r="H169" s="5" t="s">
        <v>91</v>
      </c>
      <c r="I169" s="5">
        <v>1</v>
      </c>
      <c r="J169" s="5" t="s">
        <v>69</v>
      </c>
      <c r="K169" s="6">
        <f>IF(J169=[13]Legend!$A$67,[13]Legend!$B$67,(IF(J169=[13]Legend!$A$68,[13]Legend!$B$68,IF(J169=[13]Legend!$A$69, [13]Legend!$B$69, IF(J169=[13]Legend!$A$70, [13]Legend!$B$70, IF(J169=[13]Legend!$A$71, [13]Legend!$B$71, IF(J169=[13]Legend!$A$72, [13]Legend!$B$72, IF(J169=[13]Legend!$A$73, [13]Legend!$B$73, (IF(J169=[13]Legend!$A$74, [13]Legend!$B$74, IF(J169=[13]Legend!$A$75, [13]Legend!$B$75, "")))))))))))</f>
        <v>120</v>
      </c>
      <c r="L169" s="5">
        <v>118</v>
      </c>
      <c r="M169" s="5">
        <v>0</v>
      </c>
      <c r="N169" s="5"/>
      <c r="O169" s="5"/>
    </row>
    <row r="170" spans="1:15" ht="14" customHeight="1" x14ac:dyDescent="0.45">
      <c r="A170" s="7">
        <v>45588</v>
      </c>
      <c r="B170" s="5" t="s">
        <v>136</v>
      </c>
      <c r="C170" s="5" t="s">
        <v>16</v>
      </c>
      <c r="D170" s="25">
        <v>3</v>
      </c>
      <c r="E170" s="5">
        <v>10</v>
      </c>
      <c r="F170" s="5">
        <v>2</v>
      </c>
      <c r="G170" s="7">
        <v>45741</v>
      </c>
      <c r="H170" s="5" t="s">
        <v>91</v>
      </c>
      <c r="I170" s="5">
        <v>1</v>
      </c>
      <c r="J170" s="5" t="s">
        <v>60</v>
      </c>
      <c r="K170" s="6">
        <f>IF(J170=[11]Legend!$A$67,[11]Legend!$B$67,(IF(J170=[11]Legend!$A$68,[11]Legend!$B$68,IF(J170=[11]Legend!$A$69, [11]Legend!$B$69, IF(J170=[11]Legend!$A$70, [11]Legend!$B$70, IF(J170=[11]Legend!$A$71, [11]Legend!$B$71, IF(J170=[11]Legend!$A$72, [11]Legend!$B$72, IF(J170=[11]Legend!$A$73, [11]Legend!$B$73, (IF(J170=[11]Legend!$A$74, [11]Legend!$B$74, IF(J170=[11]Legend!$A$75, [11]Legend!$B$75, "")))))))))))</f>
        <v>25</v>
      </c>
      <c r="L170" s="5">
        <v>25</v>
      </c>
      <c r="M170" s="5">
        <v>0</v>
      </c>
      <c r="N170" s="5"/>
      <c r="O170" s="5"/>
    </row>
    <row r="171" spans="1:15" ht="14" customHeight="1" x14ac:dyDescent="0.45">
      <c r="A171" s="7">
        <v>45588</v>
      </c>
      <c r="B171" s="5" t="s">
        <v>136</v>
      </c>
      <c r="C171" s="5" t="s">
        <v>16</v>
      </c>
      <c r="D171" s="25">
        <v>3</v>
      </c>
      <c r="E171" s="5">
        <v>10</v>
      </c>
      <c r="F171" s="5">
        <v>2</v>
      </c>
      <c r="G171" s="7">
        <v>45741</v>
      </c>
      <c r="H171" s="5" t="s">
        <v>91</v>
      </c>
      <c r="I171" s="5">
        <v>1</v>
      </c>
      <c r="J171" s="5" t="s">
        <v>18</v>
      </c>
      <c r="K171" s="6">
        <f>IF(J171=[11]Legend!$A$67,[11]Legend!$B$67,(IF(J171=[11]Legend!$A$68,[11]Legend!$B$68,IF(J171=[11]Legend!$A$69, [11]Legend!$B$69, IF(J171=[11]Legend!$A$70, [11]Legend!$B$70, IF(J171=[11]Legend!$A$71, [11]Legend!$B$71, IF(J171=[11]Legend!$A$72, [11]Legend!$B$72, IF(J171=[11]Legend!$A$73, [11]Legend!$B$73, (IF(J171=[11]Legend!$A$74, [11]Legend!$B$74, IF(J171=[11]Legend!$A$75, [11]Legend!$B$75, "")))))))))))</f>
        <v>5</v>
      </c>
      <c r="L171" s="5">
        <v>5</v>
      </c>
      <c r="M171" s="5">
        <v>0</v>
      </c>
      <c r="N171" s="5"/>
      <c r="O171" s="5"/>
    </row>
    <row r="172" spans="1:15" ht="14" customHeight="1" x14ac:dyDescent="0.45">
      <c r="A172" s="7">
        <v>45588</v>
      </c>
      <c r="B172" s="5" t="s">
        <v>136</v>
      </c>
      <c r="C172" s="5" t="s">
        <v>16</v>
      </c>
      <c r="D172" s="25">
        <v>3</v>
      </c>
      <c r="E172" s="5">
        <v>10</v>
      </c>
      <c r="F172" s="5">
        <v>2</v>
      </c>
      <c r="G172" s="7">
        <v>45741</v>
      </c>
      <c r="H172" s="5" t="s">
        <v>91</v>
      </c>
      <c r="I172" s="5">
        <v>1</v>
      </c>
      <c r="J172" s="5" t="s">
        <v>69</v>
      </c>
      <c r="K172" s="6">
        <f>IF(J172=[11]Legend!$A$67,[11]Legend!$B$67,(IF(J172=[11]Legend!$A$68,[11]Legend!$B$68,IF(J172=[11]Legend!$A$69, [11]Legend!$B$69, IF(J172=[11]Legend!$A$70, [11]Legend!$B$70, IF(J172=[11]Legend!$A$71, [11]Legend!$B$71, IF(J172=[11]Legend!$A$72, [11]Legend!$B$72, IF(J172=[11]Legend!$A$73, [11]Legend!$B$73, (IF(J172=[11]Legend!$A$74, [11]Legend!$B$74, IF(J172=[11]Legend!$A$75, [11]Legend!$B$75, "")))))))))))</f>
        <v>120</v>
      </c>
      <c r="L172" s="5">
        <v>121</v>
      </c>
      <c r="M172" s="5">
        <v>0</v>
      </c>
      <c r="N172" s="5"/>
      <c r="O172" s="5"/>
    </row>
    <row r="173" spans="1:15" ht="14" customHeight="1" x14ac:dyDescent="0.45">
      <c r="A173" s="7">
        <v>45588</v>
      </c>
      <c r="B173" s="5" t="s">
        <v>136</v>
      </c>
      <c r="C173" s="5" t="s">
        <v>16</v>
      </c>
      <c r="D173" s="25">
        <v>3</v>
      </c>
      <c r="E173" s="5">
        <v>10</v>
      </c>
      <c r="F173" s="5">
        <v>1</v>
      </c>
      <c r="G173" s="7">
        <v>45741</v>
      </c>
      <c r="H173" s="5" t="s">
        <v>91</v>
      </c>
      <c r="I173" s="5">
        <v>1</v>
      </c>
      <c r="J173" s="5" t="s">
        <v>60</v>
      </c>
      <c r="K173" s="6">
        <f>IF(J173=[11]Legend!$A$67,[11]Legend!$B$67,(IF(J173=[11]Legend!$A$68,[11]Legend!$B$68,IF(J173=[11]Legend!$A$69, [11]Legend!$B$69, IF(J173=[11]Legend!$A$70, [11]Legend!$B$70, IF(J173=[11]Legend!$A$71, [11]Legend!$B$71, IF(J173=[11]Legend!$A$72, [11]Legend!$B$72, IF(J173=[11]Legend!$A$73, [11]Legend!$B$73, (IF(J173=[11]Legend!$A$74, [11]Legend!$B$74, IF(J173=[11]Legend!$A$75, [11]Legend!$B$75, "")))))))))))</f>
        <v>25</v>
      </c>
      <c r="L173" s="5">
        <v>25</v>
      </c>
      <c r="M173" s="5">
        <v>0</v>
      </c>
      <c r="N173" s="5"/>
      <c r="O173" s="5"/>
    </row>
    <row r="174" spans="1:15" ht="14" customHeight="1" x14ac:dyDescent="0.45">
      <c r="A174" s="7">
        <v>45588</v>
      </c>
      <c r="B174" s="5" t="s">
        <v>136</v>
      </c>
      <c r="C174" s="5" t="s">
        <v>16</v>
      </c>
      <c r="D174" s="25">
        <v>3</v>
      </c>
      <c r="E174" s="5">
        <v>10</v>
      </c>
      <c r="F174" s="5">
        <v>1</v>
      </c>
      <c r="G174" s="7">
        <v>45741</v>
      </c>
      <c r="H174" s="5" t="s">
        <v>91</v>
      </c>
      <c r="I174" s="5">
        <v>1</v>
      </c>
      <c r="J174" s="5" t="s">
        <v>18</v>
      </c>
      <c r="K174" s="6">
        <f>IF(J174=[11]Legend!$A$67,[11]Legend!$B$67,(IF(J174=[11]Legend!$A$68,[11]Legend!$B$68,IF(J174=[11]Legend!$A$69, [11]Legend!$B$69, IF(J174=[11]Legend!$A$70, [11]Legend!$B$70, IF(J174=[11]Legend!$A$71, [11]Legend!$B$71, IF(J174=[11]Legend!$A$72, [11]Legend!$B$72, IF(J174=[11]Legend!$A$73, [11]Legend!$B$73, (IF(J174=[11]Legend!$A$74, [11]Legend!$B$74, IF(J174=[11]Legend!$A$75, [11]Legend!$B$75, "")))))))))))</f>
        <v>5</v>
      </c>
      <c r="L174" s="5">
        <v>5</v>
      </c>
      <c r="M174" s="5">
        <v>0</v>
      </c>
      <c r="N174" s="5"/>
      <c r="O174" s="5"/>
    </row>
    <row r="175" spans="1:15" ht="14" customHeight="1" x14ac:dyDescent="0.45">
      <c r="A175" s="7">
        <v>45588</v>
      </c>
      <c r="B175" s="5" t="s">
        <v>136</v>
      </c>
      <c r="C175" s="5" t="s">
        <v>16</v>
      </c>
      <c r="D175" s="25">
        <v>3</v>
      </c>
      <c r="E175" s="5">
        <v>10</v>
      </c>
      <c r="F175" s="5">
        <v>1</v>
      </c>
      <c r="G175" s="7">
        <v>45741</v>
      </c>
      <c r="H175" s="5" t="s">
        <v>91</v>
      </c>
      <c r="I175" s="5">
        <v>1</v>
      </c>
      <c r="J175" s="5" t="s">
        <v>69</v>
      </c>
      <c r="K175" s="6">
        <f>IF(J175=[11]Legend!$A$67,[11]Legend!$B$67,(IF(J175=[11]Legend!$A$68,[11]Legend!$B$68,IF(J175=[11]Legend!$A$69, [11]Legend!$B$69, IF(J175=[11]Legend!$A$70, [11]Legend!$B$70, IF(J175=[11]Legend!$A$71, [11]Legend!$B$71, IF(J175=[11]Legend!$A$72, [11]Legend!$B$72, IF(J175=[11]Legend!$A$73, [11]Legend!$B$73, (IF(J175=[11]Legend!$A$74, [11]Legend!$B$74, IF(J175=[11]Legend!$A$75, [11]Legend!$B$75, "")))))))))))</f>
        <v>120</v>
      </c>
      <c r="L175" s="5">
        <v>119</v>
      </c>
      <c r="M175" s="5">
        <v>0</v>
      </c>
      <c r="N175" s="5"/>
      <c r="O175" s="5"/>
    </row>
    <row r="176" spans="1:15" ht="14" customHeight="1" x14ac:dyDescent="0.45">
      <c r="A176" s="7">
        <v>45581</v>
      </c>
      <c r="B176" s="5" t="s">
        <v>136</v>
      </c>
      <c r="C176" s="5" t="s">
        <v>16</v>
      </c>
      <c r="D176" s="25">
        <v>3</v>
      </c>
      <c r="E176" s="5">
        <v>10</v>
      </c>
      <c r="F176" s="5">
        <v>1</v>
      </c>
      <c r="G176" s="7">
        <v>45761</v>
      </c>
      <c r="H176" s="5" t="s">
        <v>91</v>
      </c>
      <c r="I176" s="5">
        <v>1</v>
      </c>
      <c r="J176" s="5" t="s">
        <v>60</v>
      </c>
      <c r="K176" s="6">
        <f>IF(J176=[11]Legend!$A$67,[11]Legend!$B$67,(IF(J176=[11]Legend!$A$68,[11]Legend!$B$68,IF(J176=[11]Legend!$A$69, [11]Legend!$B$69, IF(J176=[11]Legend!$A$70, [11]Legend!$B$70, IF(J176=[11]Legend!$A$71, [11]Legend!$B$71, IF(J176=[11]Legend!$A$72, [11]Legend!$B$72, IF(J176=[11]Legend!$A$73, [11]Legend!$B$73, (IF(J176=[11]Legend!$A$74, [11]Legend!$B$74, IF(J176=[11]Legend!$A$75, [11]Legend!$B$75, "")))))))))))</f>
        <v>25</v>
      </c>
      <c r="L176" s="5">
        <v>25</v>
      </c>
      <c r="M176" s="5">
        <v>2</v>
      </c>
      <c r="N176" s="5" t="s">
        <v>23</v>
      </c>
      <c r="O176" s="5"/>
    </row>
    <row r="177" spans="1:15" ht="14" customHeight="1" x14ac:dyDescent="0.45">
      <c r="A177" s="7">
        <v>45581</v>
      </c>
      <c r="B177" s="5" t="s">
        <v>136</v>
      </c>
      <c r="C177" s="5" t="s">
        <v>16</v>
      </c>
      <c r="D177" s="25">
        <v>3</v>
      </c>
      <c r="E177" s="5">
        <v>10</v>
      </c>
      <c r="F177" s="5">
        <v>1</v>
      </c>
      <c r="G177" s="7">
        <v>45761</v>
      </c>
      <c r="H177" s="5" t="s">
        <v>91</v>
      </c>
      <c r="I177" s="5">
        <v>1</v>
      </c>
      <c r="J177" s="5" t="s">
        <v>18</v>
      </c>
      <c r="K177" s="6">
        <f>IF(J177=[11]Legend!$A$67,[11]Legend!$B$67,(IF(J177=[11]Legend!$A$68,[11]Legend!$B$68,IF(J177=[11]Legend!$A$69, [11]Legend!$B$69, IF(J177=[11]Legend!$A$70, [11]Legend!$B$70, IF(J177=[11]Legend!$A$71, [11]Legend!$B$71, IF(J177=[11]Legend!$A$72, [11]Legend!$B$72, IF(J177=[11]Legend!$A$73, [11]Legend!$B$73, (IF(J177=[11]Legend!$A$74, [11]Legend!$B$74, IF(J177=[11]Legend!$A$75, [11]Legend!$B$75, "")))))))))))</f>
        <v>5</v>
      </c>
      <c r="L177" s="5">
        <v>5</v>
      </c>
      <c r="M177" s="5">
        <v>0</v>
      </c>
      <c r="N177" s="5"/>
      <c r="O177" s="5"/>
    </row>
    <row r="178" spans="1:15" ht="14" customHeight="1" x14ac:dyDescent="0.45">
      <c r="A178" s="7">
        <v>45581</v>
      </c>
      <c r="B178" s="5" t="s">
        <v>136</v>
      </c>
      <c r="C178" s="5" t="s">
        <v>16</v>
      </c>
      <c r="D178" s="25">
        <v>3</v>
      </c>
      <c r="E178" s="5">
        <v>10</v>
      </c>
      <c r="F178" s="5">
        <v>1</v>
      </c>
      <c r="G178" s="7">
        <v>45761</v>
      </c>
      <c r="H178" s="5" t="s">
        <v>91</v>
      </c>
      <c r="I178" s="5">
        <v>1</v>
      </c>
      <c r="J178" s="5" t="s">
        <v>69</v>
      </c>
      <c r="K178" s="6">
        <f>IF(J178=[11]Legend!$A$67,[11]Legend!$B$67,(IF(J178=[11]Legend!$A$68,[11]Legend!$B$68,IF(J178=[11]Legend!$A$69, [11]Legend!$B$69, IF(J178=[11]Legend!$A$70, [11]Legend!$B$70, IF(J178=[11]Legend!$A$71, [11]Legend!$B$71, IF(J178=[11]Legend!$A$72, [11]Legend!$B$72, IF(J178=[11]Legend!$A$73, [11]Legend!$B$73, (IF(J178=[11]Legend!$A$74, [11]Legend!$B$74, IF(J178=[11]Legend!$A$75, [11]Legend!$B$75, "")))))))))))</f>
        <v>120</v>
      </c>
      <c r="L178" s="5">
        <v>119</v>
      </c>
      <c r="M178" s="5">
        <v>0</v>
      </c>
      <c r="N178" s="5"/>
      <c r="O178" s="5"/>
    </row>
  </sheetData>
  <sortState xmlns:xlrd2="http://schemas.microsoft.com/office/spreadsheetml/2017/richdata2" ref="A2:O179">
    <sortCondition ref="E1:E179"/>
  </sortState>
  <dataValidations count="2">
    <dataValidation type="whole" operator="lessThanOrEqual" allowBlank="1" showInputMessage="1" showErrorMessage="1" sqref="M8 M65" xr:uid="{30B4A098-63AB-4A88-A330-443881010D13}">
      <formula1>K8</formula1>
    </dataValidation>
    <dataValidation type="whole" operator="lessThanOrEqual" allowBlank="1" showInputMessage="1" showErrorMessage="1" sqref="L8 L65" xr:uid="{0B928AC7-5AD0-4B71-9AE5-18D957DEA47A}">
      <formula1>K8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F184-69DB-445F-BF04-0D8266001EBE}">
  <dimension ref="A1:O121"/>
  <sheetViews>
    <sheetView workbookViewId="0">
      <selection activeCell="O121" sqref="A1:O121"/>
    </sheetView>
  </sheetViews>
  <sheetFormatPr baseColWidth="10" defaultRowHeight="14.25" x14ac:dyDescent="0.45"/>
  <sheetData>
    <row r="1" spans="1:15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" customHeight="1" x14ac:dyDescent="0.45">
      <c r="A2" s="7">
        <v>45554</v>
      </c>
      <c r="B2" s="5" t="s">
        <v>24</v>
      </c>
      <c r="C2" s="5" t="s">
        <v>16</v>
      </c>
      <c r="D2" s="5">
        <v>1</v>
      </c>
      <c r="E2" s="5">
        <v>1</v>
      </c>
      <c r="F2" s="5">
        <v>1</v>
      </c>
      <c r="G2" s="7">
        <v>45567</v>
      </c>
      <c r="H2" s="5" t="s">
        <v>17</v>
      </c>
      <c r="I2" s="5">
        <v>4</v>
      </c>
      <c r="J2" s="5" t="s">
        <v>26</v>
      </c>
      <c r="K2" s="6">
        <f>IF(J2=[1]Legend!$A$66,[1]Legend!$B$66,(IF(J2=[1]Legend!$A$67,[1]Legend!$B$67,IF(J2=[1]Legend!$A$68, [1]Legend!$B$68, IF(J2=[1]Legend!$A$69, [1]Legend!$B$69, IF(J2=[1]Legend!$A$70, [1]Legend!$B$70, IF(J2=[1]Legend!$A$71, [1]Legend!$B$71, IF(J2=[1]Legend!$A$72, [1]Legend!$B$72, (IF(J2=[1]Legend!$A$73, [1]Legend!$B$73, IF(J2=[1]Legend!$A$74, [1]Legend!$B$74, "")))))))))))</f>
        <v>3</v>
      </c>
      <c r="L2" s="5">
        <v>3</v>
      </c>
      <c r="M2" s="5"/>
      <c r="N2" s="5"/>
      <c r="O2" s="5" t="s">
        <v>50</v>
      </c>
    </row>
    <row r="3" spans="1:15" ht="14" customHeight="1" x14ac:dyDescent="0.45">
      <c r="A3" s="7">
        <v>45554</v>
      </c>
      <c r="B3" s="5" t="s">
        <v>24</v>
      </c>
      <c r="C3" s="5" t="s">
        <v>16</v>
      </c>
      <c r="D3" s="5">
        <v>1</v>
      </c>
      <c r="E3" s="5">
        <v>1</v>
      </c>
      <c r="F3" s="5">
        <v>1</v>
      </c>
      <c r="G3" s="7">
        <v>45567</v>
      </c>
      <c r="H3" s="5" t="s">
        <v>17</v>
      </c>
      <c r="I3" s="5">
        <v>4</v>
      </c>
      <c r="J3" s="5" t="s">
        <v>28</v>
      </c>
      <c r="K3" s="6">
        <f>IF(J3=[1]Legend!$A$66,[1]Legend!$B$66,(IF(J3=[1]Legend!$A$67,[1]Legend!$B$67,IF(J3=[1]Legend!$A$68, [1]Legend!$B$68, IF(J3=[1]Legend!$A$69, [1]Legend!$B$69, IF(J3=[1]Legend!$A$70, [1]Legend!$B$70, IF(J3=[1]Legend!$A$71, [1]Legend!$B$71, IF(J3=[1]Legend!$A$72, [1]Legend!$B$72, (IF(J3=[1]Legend!$A$73, [1]Legend!$B$73, IF(J3=[1]Legend!$A$74, [1]Legend!$B$74, "")))))))))))</f>
        <v>120</v>
      </c>
      <c r="L3" s="5">
        <v>118</v>
      </c>
      <c r="M3" s="5">
        <v>4</v>
      </c>
      <c r="N3" s="5" t="s">
        <v>23</v>
      </c>
      <c r="O3" s="5"/>
    </row>
    <row r="4" spans="1:15" ht="14" customHeight="1" x14ac:dyDescent="0.45">
      <c r="A4" s="7">
        <v>45554</v>
      </c>
      <c r="B4" s="5" t="s">
        <v>24</v>
      </c>
      <c r="C4" s="5" t="s">
        <v>16</v>
      </c>
      <c r="D4" s="5">
        <v>1</v>
      </c>
      <c r="E4" s="5">
        <v>1</v>
      </c>
      <c r="F4" s="5">
        <v>2</v>
      </c>
      <c r="G4" s="7">
        <v>45567</v>
      </c>
      <c r="H4" s="5" t="s">
        <v>17</v>
      </c>
      <c r="I4" s="5">
        <v>4</v>
      </c>
      <c r="J4" s="5" t="s">
        <v>26</v>
      </c>
      <c r="K4" s="6">
        <f>IF(J4=[1]Legend!$A$66,[1]Legend!$B$66,(IF(J4=[1]Legend!$A$67,[1]Legend!$B$67,IF(J4=[1]Legend!$A$68, [1]Legend!$B$68, IF(J4=[1]Legend!$A$69, [1]Legend!$B$69, IF(J4=[1]Legend!$A$70, [1]Legend!$B$70, IF(J4=[1]Legend!$A$71, [1]Legend!$B$71, IF(J4=[1]Legend!$A$72, [1]Legend!$B$72, (IF(J4=[1]Legend!$A$73, [1]Legend!$B$73, IF(J4=[1]Legend!$A$74, [1]Legend!$B$74, "")))))))))))</f>
        <v>3</v>
      </c>
      <c r="L4" s="5">
        <v>3</v>
      </c>
      <c r="M4" s="5"/>
      <c r="N4" s="5"/>
      <c r="O4" s="5" t="s">
        <v>51</v>
      </c>
    </row>
    <row r="5" spans="1:15" ht="14" customHeight="1" x14ac:dyDescent="0.45">
      <c r="A5" s="7">
        <v>45554</v>
      </c>
      <c r="B5" s="5" t="s">
        <v>24</v>
      </c>
      <c r="C5" s="5" t="s">
        <v>16</v>
      </c>
      <c r="D5" s="5">
        <v>1</v>
      </c>
      <c r="E5" s="5">
        <v>1</v>
      </c>
      <c r="F5" s="5">
        <v>2</v>
      </c>
      <c r="G5" s="7">
        <v>45567</v>
      </c>
      <c r="H5" s="5" t="s">
        <v>17</v>
      </c>
      <c r="I5" s="5">
        <v>4</v>
      </c>
      <c r="J5" s="5" t="s">
        <v>28</v>
      </c>
      <c r="K5" s="6">
        <f>IF(J5=[1]Legend!$A$66,[1]Legend!$B$66,(IF(J5=[1]Legend!$A$67,[1]Legend!$B$67,IF(J5=[1]Legend!$A$68, [1]Legend!$B$68, IF(J5=[1]Legend!$A$69, [1]Legend!$B$69, IF(J5=[1]Legend!$A$70, [1]Legend!$B$70, IF(J5=[1]Legend!$A$71, [1]Legend!$B$71, IF(J5=[1]Legend!$A$72, [1]Legend!$B$72, (IF(J5=[1]Legend!$A$73, [1]Legend!$B$73, IF(J5=[1]Legend!$A$74, [1]Legend!$B$74, "")))))))))))</f>
        <v>120</v>
      </c>
      <c r="L5" s="5">
        <v>118</v>
      </c>
      <c r="M5" s="5">
        <v>2</v>
      </c>
      <c r="N5" s="5" t="s">
        <v>23</v>
      </c>
      <c r="O5" s="5"/>
    </row>
    <row r="6" spans="1:15" ht="14" customHeight="1" x14ac:dyDescent="0.45">
      <c r="A6" s="7">
        <v>45554</v>
      </c>
      <c r="B6" s="5" t="s">
        <v>24</v>
      </c>
      <c r="C6" s="5" t="s">
        <v>16</v>
      </c>
      <c r="D6" s="5">
        <v>1</v>
      </c>
      <c r="E6" s="5">
        <v>2</v>
      </c>
      <c r="F6" s="5">
        <v>1</v>
      </c>
      <c r="G6" s="7">
        <v>45567</v>
      </c>
      <c r="H6" s="5" t="s">
        <v>17</v>
      </c>
      <c r="I6" s="5">
        <v>4</v>
      </c>
      <c r="J6" s="5" t="s">
        <v>26</v>
      </c>
      <c r="K6" s="6">
        <f>IF(J6=[1]Legend!$A$66,[1]Legend!$B$66,(IF(J6=[1]Legend!$A$67,[1]Legend!$B$67,IF(J6=[1]Legend!$A$68, [1]Legend!$B$68, IF(J6=[1]Legend!$A$69, [1]Legend!$B$69, IF(J6=[1]Legend!$A$70, [1]Legend!$B$70, IF(J6=[1]Legend!$A$71, [1]Legend!$B$71, IF(J6=[1]Legend!$A$72, [1]Legend!$B$72, (IF(J6=[1]Legend!$A$73, [1]Legend!$B$73, IF(J6=[1]Legend!$A$74, [1]Legend!$B$74, "")))))))))))</f>
        <v>3</v>
      </c>
      <c r="L6" s="5">
        <v>3</v>
      </c>
      <c r="M6" s="5"/>
      <c r="N6" s="5"/>
      <c r="O6" s="5" t="s">
        <v>52</v>
      </c>
    </row>
    <row r="7" spans="1:15" ht="14" customHeight="1" x14ac:dyDescent="0.45">
      <c r="A7" s="7">
        <v>45554</v>
      </c>
      <c r="B7" s="5" t="s">
        <v>24</v>
      </c>
      <c r="C7" s="5" t="s">
        <v>16</v>
      </c>
      <c r="D7" s="5">
        <v>1</v>
      </c>
      <c r="E7" s="5">
        <v>2</v>
      </c>
      <c r="F7" s="5">
        <v>1</v>
      </c>
      <c r="G7" s="7">
        <v>45567</v>
      </c>
      <c r="H7" s="5" t="s">
        <v>17</v>
      </c>
      <c r="I7" s="5">
        <v>4</v>
      </c>
      <c r="J7" s="5" t="s">
        <v>28</v>
      </c>
      <c r="K7" s="6">
        <f>IF(J7=[1]Legend!$A$66,[1]Legend!$B$66,(IF(J7=[1]Legend!$A$67,[1]Legend!$B$67,IF(J7=[1]Legend!$A$68, [1]Legend!$B$68, IF(J7=[1]Legend!$A$69, [1]Legend!$B$69, IF(J7=[1]Legend!$A$70, [1]Legend!$B$70, IF(J7=[1]Legend!$A$71, [1]Legend!$B$71, IF(J7=[1]Legend!$A$72, [1]Legend!$B$72, (IF(J7=[1]Legend!$A$73, [1]Legend!$B$73, IF(J7=[1]Legend!$A$74, [1]Legend!$B$74, "")))))))))))</f>
        <v>120</v>
      </c>
      <c r="L7" s="5">
        <v>120</v>
      </c>
      <c r="M7" s="5">
        <v>4</v>
      </c>
      <c r="N7" s="5" t="s">
        <v>30</v>
      </c>
      <c r="O7" s="5"/>
    </row>
    <row r="8" spans="1:15" ht="14" customHeight="1" x14ac:dyDescent="0.45">
      <c r="A8" s="7">
        <v>45554</v>
      </c>
      <c r="B8" s="5" t="s">
        <v>24</v>
      </c>
      <c r="C8" s="5" t="s">
        <v>16</v>
      </c>
      <c r="D8" s="5">
        <v>1</v>
      </c>
      <c r="E8" s="5">
        <v>2</v>
      </c>
      <c r="F8" s="5">
        <v>2</v>
      </c>
      <c r="G8" s="7">
        <v>45567</v>
      </c>
      <c r="H8" s="5" t="s">
        <v>17</v>
      </c>
      <c r="I8" s="5">
        <v>4</v>
      </c>
      <c r="J8" s="5" t="s">
        <v>26</v>
      </c>
      <c r="K8" s="6">
        <f>IF(J8=[1]Legend!$A$66,[1]Legend!$B$66,(IF(J8=[1]Legend!$A$67,[1]Legend!$B$67,IF(J8=[1]Legend!$A$68, [1]Legend!$B$68, IF(J8=[1]Legend!$A$69, [1]Legend!$B$69, IF(J8=[1]Legend!$A$70, [1]Legend!$B$70, IF(J8=[1]Legend!$A$71, [1]Legend!$B$71, IF(J8=[1]Legend!$A$72, [1]Legend!$B$72, (IF(J8=[1]Legend!$A$73, [1]Legend!$B$73, IF(J8=[1]Legend!$A$74, [1]Legend!$B$74, "")))))))))))</f>
        <v>3</v>
      </c>
      <c r="L8" s="5">
        <v>3</v>
      </c>
      <c r="M8" s="5"/>
      <c r="N8" s="5"/>
      <c r="O8" s="5" t="s">
        <v>53</v>
      </c>
    </row>
    <row r="9" spans="1:15" ht="14" customHeight="1" x14ac:dyDescent="0.45">
      <c r="A9" s="7">
        <v>45554</v>
      </c>
      <c r="B9" s="5" t="s">
        <v>24</v>
      </c>
      <c r="C9" s="5" t="s">
        <v>16</v>
      </c>
      <c r="D9" s="5">
        <v>1</v>
      </c>
      <c r="E9" s="5">
        <v>2</v>
      </c>
      <c r="F9" s="5">
        <v>2</v>
      </c>
      <c r="G9" s="7">
        <v>45567</v>
      </c>
      <c r="H9" s="5" t="s">
        <v>17</v>
      </c>
      <c r="I9" s="5">
        <v>4</v>
      </c>
      <c r="J9" s="5" t="s">
        <v>28</v>
      </c>
      <c r="K9" s="6">
        <f>IF(J9=[1]Legend!$A$66,[1]Legend!$B$66,(IF(J9=[1]Legend!$A$67,[1]Legend!$B$67,IF(J9=[1]Legend!$A$68, [1]Legend!$B$68, IF(J9=[1]Legend!$A$69, [1]Legend!$B$69, IF(J9=[1]Legend!$A$70, [1]Legend!$B$70, IF(J9=[1]Legend!$A$71, [1]Legend!$B$71, IF(J9=[1]Legend!$A$72, [1]Legend!$B$72, (IF(J9=[1]Legend!$A$73, [1]Legend!$B$73, IF(J9=[1]Legend!$A$74, [1]Legend!$B$74, "")))))))))))</f>
        <v>120</v>
      </c>
      <c r="L9" s="5">
        <v>120</v>
      </c>
      <c r="M9" s="5"/>
      <c r="N9" s="5"/>
      <c r="O9" s="5"/>
    </row>
    <row r="10" spans="1:15" ht="14" customHeight="1" x14ac:dyDescent="0.45">
      <c r="A10" s="7">
        <v>45554</v>
      </c>
      <c r="B10" s="5" t="s">
        <v>24</v>
      </c>
      <c r="C10" s="5" t="s">
        <v>16</v>
      </c>
      <c r="D10" s="5">
        <v>1</v>
      </c>
      <c r="E10" s="5">
        <v>3</v>
      </c>
      <c r="F10" s="5">
        <v>1</v>
      </c>
      <c r="G10" s="7">
        <v>45567</v>
      </c>
      <c r="H10" s="5" t="s">
        <v>17</v>
      </c>
      <c r="I10" s="5">
        <v>4</v>
      </c>
      <c r="J10" s="5" t="s">
        <v>26</v>
      </c>
      <c r="K10" s="6">
        <f>IF(J10=[1]Legend!$A$66,[1]Legend!$B$66,(IF(J10=[1]Legend!$A$67,[1]Legend!$B$67,IF(J10=[1]Legend!$A$68, [1]Legend!$B$68, IF(J10=[1]Legend!$A$69, [1]Legend!$B$69, IF(J10=[1]Legend!$A$70, [1]Legend!$B$70, IF(J10=[1]Legend!$A$71, [1]Legend!$B$71, IF(J10=[1]Legend!$A$72, [1]Legend!$B$72, (IF(J10=[1]Legend!$A$73, [1]Legend!$B$73, IF(J10=[1]Legend!$A$74, [1]Legend!$B$74, "")))))))))))</f>
        <v>3</v>
      </c>
      <c r="L10" s="5">
        <v>3</v>
      </c>
      <c r="M10" s="5"/>
      <c r="N10" s="5"/>
      <c r="O10" s="5" t="s">
        <v>54</v>
      </c>
    </row>
    <row r="11" spans="1:15" ht="14" customHeight="1" x14ac:dyDescent="0.45">
      <c r="A11" s="7">
        <v>45554</v>
      </c>
      <c r="B11" s="5" t="s">
        <v>24</v>
      </c>
      <c r="C11" s="5" t="s">
        <v>16</v>
      </c>
      <c r="D11" s="5">
        <v>1</v>
      </c>
      <c r="E11" s="5">
        <v>3</v>
      </c>
      <c r="F11" s="5">
        <v>1</v>
      </c>
      <c r="G11" s="7">
        <v>45567</v>
      </c>
      <c r="H11" s="5" t="s">
        <v>17</v>
      </c>
      <c r="I11" s="5">
        <v>4</v>
      </c>
      <c r="J11" s="5" t="s">
        <v>28</v>
      </c>
      <c r="K11" s="6">
        <f>IF(J11=[1]Legend!$A$66,[1]Legend!$B$66,(IF(J11=[1]Legend!$A$67,[1]Legend!$B$67,IF(J11=[1]Legend!$A$68, [1]Legend!$B$68, IF(J11=[1]Legend!$A$69, [1]Legend!$B$69, IF(J11=[1]Legend!$A$70, [1]Legend!$B$70, IF(J11=[1]Legend!$A$71, [1]Legend!$B$71, IF(J11=[1]Legend!$A$72, [1]Legend!$B$72, (IF(J11=[1]Legend!$A$73, [1]Legend!$B$73, IF(J11=[1]Legend!$A$74, [1]Legend!$B$74, "")))))))))))</f>
        <v>120</v>
      </c>
      <c r="L11" s="5">
        <v>118</v>
      </c>
      <c r="M11" s="5">
        <v>5</v>
      </c>
      <c r="N11" s="5" t="s">
        <v>30</v>
      </c>
      <c r="O11" s="5" t="s">
        <v>55</v>
      </c>
    </row>
    <row r="12" spans="1:15" ht="14" customHeight="1" x14ac:dyDescent="0.45">
      <c r="A12" s="7">
        <v>45554</v>
      </c>
      <c r="B12" s="5" t="s">
        <v>24</v>
      </c>
      <c r="C12" s="5" t="s">
        <v>16</v>
      </c>
      <c r="D12" s="5">
        <v>1</v>
      </c>
      <c r="E12" s="5">
        <v>3</v>
      </c>
      <c r="F12" s="5">
        <v>2</v>
      </c>
      <c r="G12" s="7">
        <v>45567</v>
      </c>
      <c r="H12" s="5" t="s">
        <v>17</v>
      </c>
      <c r="I12" s="5">
        <v>4</v>
      </c>
      <c r="J12" s="5" t="s">
        <v>26</v>
      </c>
      <c r="K12" s="6">
        <f>IF(J12=[1]Legend!$A$66,[1]Legend!$B$66,(IF(J12=[1]Legend!$A$67,[1]Legend!$B$67,IF(J12=[1]Legend!$A$68, [1]Legend!$B$68, IF(J12=[1]Legend!$A$69, [1]Legend!$B$69, IF(J12=[1]Legend!$A$70, [1]Legend!$B$70, IF(J12=[1]Legend!$A$71, [1]Legend!$B$71, IF(J12=[1]Legend!$A$72, [1]Legend!$B$72, (IF(J12=[1]Legend!$A$73, [1]Legend!$B$73, IF(J12=[1]Legend!$A$74, [1]Legend!$B$74, "")))))))))))</f>
        <v>3</v>
      </c>
      <c r="L12" s="5">
        <v>3</v>
      </c>
      <c r="M12" s="5"/>
      <c r="N12" s="5"/>
      <c r="O12" s="5" t="s">
        <v>39</v>
      </c>
    </row>
    <row r="13" spans="1:15" ht="14" customHeight="1" x14ac:dyDescent="0.45">
      <c r="A13" s="7">
        <v>45554</v>
      </c>
      <c r="B13" s="5" t="s">
        <v>24</v>
      </c>
      <c r="C13" s="5" t="s">
        <v>16</v>
      </c>
      <c r="D13" s="5">
        <v>1</v>
      </c>
      <c r="E13" s="5">
        <v>3</v>
      </c>
      <c r="F13" s="5">
        <v>2</v>
      </c>
      <c r="G13" s="7">
        <v>45567</v>
      </c>
      <c r="H13" s="5" t="s">
        <v>17</v>
      </c>
      <c r="I13" s="5">
        <v>4</v>
      </c>
      <c r="J13" s="5" t="s">
        <v>28</v>
      </c>
      <c r="K13" s="6">
        <f>IF(J13=[1]Legend!$A$66,[1]Legend!$B$66,(IF(J13=[1]Legend!$A$67,[1]Legend!$B$67,IF(J13=[1]Legend!$A$68, [1]Legend!$B$68, IF(J13=[1]Legend!$A$69, [1]Legend!$B$69, IF(J13=[1]Legend!$A$70, [1]Legend!$B$70, IF(J13=[1]Legend!$A$71, [1]Legend!$B$71, IF(J13=[1]Legend!$A$72, [1]Legend!$B$72, (IF(J13=[1]Legend!$A$73, [1]Legend!$B$73, IF(J13=[1]Legend!$A$74, [1]Legend!$B$74, "")))))))))))</f>
        <v>120</v>
      </c>
      <c r="L13" s="5">
        <v>118</v>
      </c>
      <c r="M13" s="5"/>
      <c r="N13" s="5"/>
      <c r="O13" s="5" t="s">
        <v>55</v>
      </c>
    </row>
    <row r="14" spans="1:15" ht="14" customHeight="1" x14ac:dyDescent="0.45">
      <c r="A14" s="7">
        <v>45554</v>
      </c>
      <c r="B14" s="5" t="s">
        <v>24</v>
      </c>
      <c r="C14" s="5" t="s">
        <v>16</v>
      </c>
      <c r="D14" s="5">
        <v>1</v>
      </c>
      <c r="E14" s="5">
        <v>4</v>
      </c>
      <c r="F14" s="5">
        <v>1</v>
      </c>
      <c r="G14" s="7">
        <v>45563</v>
      </c>
      <c r="H14" s="5" t="s">
        <v>17</v>
      </c>
      <c r="I14" s="5">
        <v>4</v>
      </c>
      <c r="J14" s="5" t="s">
        <v>26</v>
      </c>
      <c r="K14" s="6">
        <f>IF(J14=[1]Legend!$A$66,[1]Legend!$B$66,(IF(J14=[1]Legend!$A$67,[1]Legend!$B$67,IF(J14=[1]Legend!$A$68, [1]Legend!$B$68, IF(J14=[1]Legend!$A$69, [1]Legend!$B$69, IF(J14=[1]Legend!$A$70, [1]Legend!$B$70, IF(J14=[1]Legend!$A$71, [1]Legend!$B$71, IF(J14=[1]Legend!$A$72, [1]Legend!$B$72, (IF(J14=[1]Legend!$A$73, [1]Legend!$B$73, IF(J14=[1]Legend!$A$74, [1]Legend!$B$74, "")))))))))))</f>
        <v>3</v>
      </c>
      <c r="L14" s="5">
        <v>3</v>
      </c>
      <c r="M14" s="5"/>
      <c r="N14" s="5"/>
      <c r="O14" s="5" t="s">
        <v>56</v>
      </c>
    </row>
    <row r="15" spans="1:15" ht="14" customHeight="1" x14ac:dyDescent="0.45">
      <c r="A15" s="7">
        <v>45554</v>
      </c>
      <c r="B15" s="5" t="s">
        <v>24</v>
      </c>
      <c r="C15" s="5" t="s">
        <v>16</v>
      </c>
      <c r="D15" s="5">
        <v>1</v>
      </c>
      <c r="E15" s="5">
        <v>4</v>
      </c>
      <c r="F15" s="5">
        <v>1</v>
      </c>
      <c r="G15" s="7">
        <v>45563</v>
      </c>
      <c r="H15" s="5" t="s">
        <v>17</v>
      </c>
      <c r="I15" s="5">
        <v>4</v>
      </c>
      <c r="J15" s="5" t="s">
        <v>28</v>
      </c>
      <c r="K15" s="6">
        <f>IF(J15=[1]Legend!$A$66,[1]Legend!$B$66,(IF(J15=[1]Legend!$A$67,[1]Legend!$B$67,IF(J15=[1]Legend!$A$68, [1]Legend!$B$68, IF(J15=[1]Legend!$A$69, [1]Legend!$B$69, IF(J15=[1]Legend!$A$70, [1]Legend!$B$70, IF(J15=[1]Legend!$A$71, [1]Legend!$B$71, IF(J15=[1]Legend!$A$72, [1]Legend!$B$72, (IF(J15=[1]Legend!$A$73, [1]Legend!$B$73, IF(J15=[1]Legend!$A$74, [1]Legend!$B$74, "")))))))))))</f>
        <v>120</v>
      </c>
      <c r="L15" s="5">
        <v>120</v>
      </c>
      <c r="M15" s="5">
        <v>3</v>
      </c>
      <c r="N15" s="5" t="s">
        <v>23</v>
      </c>
      <c r="O15" s="5"/>
    </row>
    <row r="16" spans="1:15" ht="14" customHeight="1" x14ac:dyDescent="0.45">
      <c r="A16" s="7">
        <v>45554</v>
      </c>
      <c r="B16" s="5" t="s">
        <v>24</v>
      </c>
      <c r="C16" s="5" t="s">
        <v>16</v>
      </c>
      <c r="D16" s="5">
        <v>1</v>
      </c>
      <c r="E16" s="5">
        <v>4</v>
      </c>
      <c r="F16" s="5">
        <v>2</v>
      </c>
      <c r="G16" s="7">
        <v>45563</v>
      </c>
      <c r="H16" s="5" t="s">
        <v>17</v>
      </c>
      <c r="I16" s="5">
        <v>4</v>
      </c>
      <c r="J16" s="5" t="s">
        <v>26</v>
      </c>
      <c r="K16" s="6">
        <f>IF(J16=[1]Legend!$A$66,[1]Legend!$B$66,(IF(J16=[1]Legend!$A$67,[1]Legend!$B$67,IF(J16=[1]Legend!$A$68, [1]Legend!$B$68, IF(J16=[1]Legend!$A$69, [1]Legend!$B$69, IF(J16=[1]Legend!$A$70, [1]Legend!$B$70, IF(J16=[1]Legend!$A$71, [1]Legend!$B$71, IF(J16=[1]Legend!$A$72, [1]Legend!$B$72, (IF(J16=[1]Legend!$A$73, [1]Legend!$B$73, IF(J16=[1]Legend!$A$74, [1]Legend!$B$74, "")))))))))))</f>
        <v>3</v>
      </c>
      <c r="L16" s="5">
        <v>3</v>
      </c>
      <c r="M16" s="5"/>
      <c r="N16" s="5"/>
      <c r="O16" s="5" t="s">
        <v>57</v>
      </c>
    </row>
    <row r="17" spans="1:15" ht="14" customHeight="1" x14ac:dyDescent="0.45">
      <c r="A17" s="7">
        <v>45554</v>
      </c>
      <c r="B17" s="5" t="s">
        <v>24</v>
      </c>
      <c r="C17" s="5" t="s">
        <v>16</v>
      </c>
      <c r="D17" s="5">
        <v>1</v>
      </c>
      <c r="E17" s="5">
        <v>4</v>
      </c>
      <c r="F17" s="5">
        <v>2</v>
      </c>
      <c r="G17" s="7">
        <v>45563</v>
      </c>
      <c r="H17" s="5" t="s">
        <v>17</v>
      </c>
      <c r="I17" s="5">
        <v>4</v>
      </c>
      <c r="J17" s="5" t="s">
        <v>28</v>
      </c>
      <c r="K17" s="6">
        <f>IF(J17=[1]Legend!$A$66,[1]Legend!$B$66,(IF(J17=[1]Legend!$A$67,[1]Legend!$B$67,IF(J17=[1]Legend!$A$68, [1]Legend!$B$68, IF(J17=[1]Legend!$A$69, [1]Legend!$B$69, IF(J17=[1]Legend!$A$70, [1]Legend!$B$70, IF(J17=[1]Legend!$A$71, [1]Legend!$B$71, IF(J17=[1]Legend!$A$72, [1]Legend!$B$72, (IF(J17=[1]Legend!$A$73, [1]Legend!$B$73, IF(J17=[1]Legend!$A$74, [1]Legend!$B$74, "")))))))))))</f>
        <v>120</v>
      </c>
      <c r="L17" s="5">
        <v>120</v>
      </c>
      <c r="M17" s="5">
        <v>5</v>
      </c>
      <c r="N17" s="5" t="s">
        <v>58</v>
      </c>
      <c r="O17" s="5"/>
    </row>
    <row r="18" spans="1:15" ht="14" customHeight="1" x14ac:dyDescent="0.45">
      <c r="A18" s="7">
        <v>45554</v>
      </c>
      <c r="B18" s="5" t="s">
        <v>24</v>
      </c>
      <c r="C18" s="5" t="s">
        <v>16</v>
      </c>
      <c r="D18" s="5">
        <v>1</v>
      </c>
      <c r="E18" s="5">
        <v>5</v>
      </c>
      <c r="F18" s="5">
        <v>1</v>
      </c>
      <c r="G18" s="7">
        <v>45563</v>
      </c>
      <c r="H18" s="5" t="s">
        <v>17</v>
      </c>
      <c r="I18" s="5">
        <v>4</v>
      </c>
      <c r="J18" s="5" t="s">
        <v>26</v>
      </c>
      <c r="K18" s="6">
        <f>IF(J18=[1]Legend!$A$66,[1]Legend!$B$66,(IF(J18=[1]Legend!$A$67,[1]Legend!$B$67,IF(J18=[1]Legend!$A$68, [1]Legend!$B$68, IF(J18=[1]Legend!$A$69, [1]Legend!$B$69, IF(J18=[1]Legend!$A$70, [1]Legend!$B$70, IF(J18=[1]Legend!$A$71, [1]Legend!$B$71, IF(J18=[1]Legend!$A$72, [1]Legend!$B$72, (IF(J18=[1]Legend!$A$73, [1]Legend!$B$73, IF(J18=[1]Legend!$A$74, [1]Legend!$B$74, "")))))))))))</f>
        <v>3</v>
      </c>
      <c r="L18" s="5">
        <v>0</v>
      </c>
      <c r="M18" s="5"/>
      <c r="N18" s="5"/>
      <c r="O18" s="5"/>
    </row>
    <row r="19" spans="1:15" ht="14" customHeight="1" x14ac:dyDescent="0.45">
      <c r="A19" s="7">
        <v>45554</v>
      </c>
      <c r="B19" s="5" t="s">
        <v>24</v>
      </c>
      <c r="C19" s="5" t="s">
        <v>16</v>
      </c>
      <c r="D19" s="5">
        <v>1</v>
      </c>
      <c r="E19" s="5">
        <v>5</v>
      </c>
      <c r="F19" s="5">
        <v>1</v>
      </c>
      <c r="G19" s="7">
        <v>45563</v>
      </c>
      <c r="H19" s="5" t="s">
        <v>17</v>
      </c>
      <c r="I19" s="5">
        <v>4</v>
      </c>
      <c r="J19" s="5" t="s">
        <v>28</v>
      </c>
      <c r="K19" s="6">
        <f>IF(J19=[1]Legend!$A$66,[1]Legend!$B$66,(IF(J19=[1]Legend!$A$67,[1]Legend!$B$67,IF(J19=[1]Legend!$A$68, [1]Legend!$B$68, IF(J19=[1]Legend!$A$69, [1]Legend!$B$69, IF(J19=[1]Legend!$A$70, [1]Legend!$B$70, IF(J19=[1]Legend!$A$71, [1]Legend!$B$71, IF(J19=[1]Legend!$A$72, [1]Legend!$B$72, (IF(J19=[1]Legend!$A$73, [1]Legend!$B$73, IF(J19=[1]Legend!$A$74, [1]Legend!$B$74, "")))))))))))</f>
        <v>120</v>
      </c>
      <c r="L19" s="5">
        <v>118</v>
      </c>
      <c r="M19" s="5"/>
      <c r="N19" s="5"/>
      <c r="O19" s="5"/>
    </row>
    <row r="20" spans="1:15" ht="14" customHeight="1" x14ac:dyDescent="0.45">
      <c r="A20" s="7">
        <v>45554</v>
      </c>
      <c r="B20" s="5" t="s">
        <v>24</v>
      </c>
      <c r="C20" s="5" t="s">
        <v>16</v>
      </c>
      <c r="D20" s="5">
        <v>1</v>
      </c>
      <c r="E20" s="5">
        <v>5</v>
      </c>
      <c r="F20" s="5">
        <v>2</v>
      </c>
      <c r="G20" s="7">
        <v>45563</v>
      </c>
      <c r="H20" s="5" t="s">
        <v>17</v>
      </c>
      <c r="I20" s="5">
        <v>4</v>
      </c>
      <c r="J20" s="5" t="s">
        <v>26</v>
      </c>
      <c r="K20" s="6">
        <f>IF(J20=[1]Legend!$A$66,[1]Legend!$B$66,(IF(J20=[1]Legend!$A$67,[1]Legend!$B$67,IF(J20=[1]Legend!$A$68, [1]Legend!$B$68, IF(J20=[1]Legend!$A$69, [1]Legend!$B$69, IF(J20=[1]Legend!$A$70, [1]Legend!$B$70, IF(J20=[1]Legend!$A$71, [1]Legend!$B$71, IF(J20=[1]Legend!$A$72, [1]Legend!$B$72, (IF(J20=[1]Legend!$A$73, [1]Legend!$B$73, IF(J20=[1]Legend!$A$74, [1]Legend!$B$74, "")))))))))))</f>
        <v>3</v>
      </c>
      <c r="L20" s="5">
        <v>3</v>
      </c>
      <c r="M20" s="5"/>
      <c r="N20" s="5"/>
      <c r="O20" s="5"/>
    </row>
    <row r="21" spans="1:15" ht="14" customHeight="1" x14ac:dyDescent="0.45">
      <c r="A21" s="7">
        <v>45554</v>
      </c>
      <c r="B21" s="5" t="s">
        <v>24</v>
      </c>
      <c r="C21" s="5" t="s">
        <v>16</v>
      </c>
      <c r="D21" s="5">
        <v>1</v>
      </c>
      <c r="E21" s="5">
        <v>5</v>
      </c>
      <c r="F21" s="5">
        <v>2</v>
      </c>
      <c r="G21" s="7">
        <v>45563</v>
      </c>
      <c r="H21" s="5" t="s">
        <v>17</v>
      </c>
      <c r="I21" s="5">
        <v>4</v>
      </c>
      <c r="J21" s="5" t="s">
        <v>28</v>
      </c>
      <c r="K21" s="6">
        <f>IF(J21=[1]Legend!$A$66,[1]Legend!$B$66,(IF(J21=[1]Legend!$A$67,[1]Legend!$B$67,IF(J21=[1]Legend!$A$68, [1]Legend!$B$68, IF(J21=[1]Legend!$A$69, [1]Legend!$B$69, IF(J21=[1]Legend!$A$70, [1]Legend!$B$70, IF(J21=[1]Legend!$A$71, [1]Legend!$B$71, IF(J21=[1]Legend!$A$72, [1]Legend!$B$72, (IF(J21=[1]Legend!$A$73, [1]Legend!$B$73, IF(J21=[1]Legend!$A$74, [1]Legend!$B$74, "")))))))))))</f>
        <v>120</v>
      </c>
      <c r="L21" s="5">
        <v>120</v>
      </c>
      <c r="M21" s="5"/>
      <c r="N21" s="5"/>
      <c r="O21" s="5"/>
    </row>
    <row r="22" spans="1:15" ht="14" customHeight="1" x14ac:dyDescent="0.45">
      <c r="A22" s="7">
        <v>45554</v>
      </c>
      <c r="B22" s="5" t="s">
        <v>24</v>
      </c>
      <c r="C22" s="5" t="s">
        <v>16</v>
      </c>
      <c r="D22" s="5">
        <v>1</v>
      </c>
      <c r="E22" s="5">
        <v>6</v>
      </c>
      <c r="F22" s="5">
        <v>1</v>
      </c>
      <c r="G22" s="7">
        <v>45588</v>
      </c>
      <c r="H22" s="5" t="s">
        <v>17</v>
      </c>
      <c r="I22" s="5">
        <v>4</v>
      </c>
      <c r="J22" s="5" t="s">
        <v>26</v>
      </c>
      <c r="K22" s="6">
        <f>IF(J22=[1]Legend!$A$66,[1]Legend!$B$66,(IF(J22=[1]Legend!$A$67,[1]Legend!$B$67,IF(J22=[1]Legend!$A$68, [1]Legend!$B$68, IF(J22=[1]Legend!$A$69, [1]Legend!$B$69, IF(J22=[1]Legend!$A$70, [1]Legend!$B$70, IF(J22=[1]Legend!$A$71, [1]Legend!$B$71, IF(J22=[1]Legend!$A$72, [1]Legend!$B$72, (IF(J22=[1]Legend!$A$73, [1]Legend!$B$73, IF(J22=[1]Legend!$A$74, [1]Legend!$B$74, "")))))))))))</f>
        <v>3</v>
      </c>
      <c r="L22" s="5">
        <v>3</v>
      </c>
      <c r="M22" s="5"/>
      <c r="N22" s="5"/>
      <c r="O22" s="5" t="s">
        <v>64</v>
      </c>
    </row>
    <row r="23" spans="1:15" ht="14" customHeight="1" x14ac:dyDescent="0.45">
      <c r="A23" s="7">
        <v>45554</v>
      </c>
      <c r="B23" s="5" t="s">
        <v>24</v>
      </c>
      <c r="C23" s="5" t="s">
        <v>16</v>
      </c>
      <c r="D23" s="5">
        <v>1</v>
      </c>
      <c r="E23" s="5">
        <v>6</v>
      </c>
      <c r="F23" s="5">
        <v>1</v>
      </c>
      <c r="G23" s="7">
        <v>45588</v>
      </c>
      <c r="H23" s="5" t="s">
        <v>17</v>
      </c>
      <c r="I23" s="5">
        <v>4</v>
      </c>
      <c r="J23" s="5" t="s">
        <v>28</v>
      </c>
      <c r="K23" s="6">
        <f>IF(J23=[1]Legend!$A$66,[1]Legend!$B$66,(IF(J23=[1]Legend!$A$67,[1]Legend!$B$67,IF(J23=[1]Legend!$A$68, [1]Legend!$B$68, IF(J23=[1]Legend!$A$69, [1]Legend!$B$69, IF(J23=[1]Legend!$A$70, [1]Legend!$B$70, IF(J23=[1]Legend!$A$71, [1]Legend!$B$71, IF(J23=[1]Legend!$A$72, [1]Legend!$B$72, (IF(J23=[1]Legend!$A$73, [1]Legend!$B$73, IF(J23=[1]Legend!$A$74, [1]Legend!$B$74, "")))))))))))</f>
        <v>120</v>
      </c>
      <c r="L23" s="5">
        <v>118</v>
      </c>
      <c r="M23" s="5">
        <v>2</v>
      </c>
      <c r="N23" s="5" t="s">
        <v>30</v>
      </c>
      <c r="O23" s="5"/>
    </row>
    <row r="24" spans="1:15" ht="14" customHeight="1" x14ac:dyDescent="0.45">
      <c r="A24" s="7">
        <v>45554</v>
      </c>
      <c r="B24" s="5" t="s">
        <v>24</v>
      </c>
      <c r="C24" s="5" t="s">
        <v>16</v>
      </c>
      <c r="D24" s="5">
        <v>1</v>
      </c>
      <c r="E24" s="5">
        <v>6</v>
      </c>
      <c r="F24" s="5">
        <v>2</v>
      </c>
      <c r="G24" s="7">
        <v>45588</v>
      </c>
      <c r="H24" s="5" t="s">
        <v>17</v>
      </c>
      <c r="I24" s="5">
        <v>4</v>
      </c>
      <c r="J24" s="5" t="s">
        <v>26</v>
      </c>
      <c r="K24" s="6">
        <f>IF(J24=[1]Legend!$A$66,[1]Legend!$B$66,(IF(J24=[1]Legend!$A$67,[1]Legend!$B$67,IF(J24=[1]Legend!$A$68, [1]Legend!$B$68, IF(J24=[1]Legend!$A$69, [1]Legend!$B$69, IF(J24=[1]Legend!$A$70, [1]Legend!$B$70, IF(J24=[1]Legend!$A$71, [1]Legend!$B$71, IF(J24=[1]Legend!$A$72, [1]Legend!$B$72, (IF(J24=[1]Legend!$A$73, [1]Legend!$B$73, IF(J24=[1]Legend!$A$74, [1]Legend!$B$74, "")))))))))))</f>
        <v>3</v>
      </c>
      <c r="L24" s="5">
        <v>3</v>
      </c>
      <c r="M24" s="5"/>
      <c r="N24" s="5"/>
      <c r="O24" s="5" t="s">
        <v>65</v>
      </c>
    </row>
    <row r="25" spans="1:15" ht="14" customHeight="1" x14ac:dyDescent="0.45">
      <c r="A25" s="7">
        <v>45554</v>
      </c>
      <c r="B25" s="5" t="s">
        <v>24</v>
      </c>
      <c r="C25" s="5" t="s">
        <v>16</v>
      </c>
      <c r="D25" s="5">
        <v>1</v>
      </c>
      <c r="E25" s="5">
        <v>6</v>
      </c>
      <c r="F25" s="5">
        <v>2</v>
      </c>
      <c r="G25" s="7">
        <v>45588</v>
      </c>
      <c r="H25" s="5" t="s">
        <v>17</v>
      </c>
      <c r="I25" s="5">
        <v>4</v>
      </c>
      <c r="J25" s="5" t="s">
        <v>28</v>
      </c>
      <c r="K25" s="6">
        <f>IF(J25=[1]Legend!$A$66,[1]Legend!$B$66,(IF(J25=[1]Legend!$A$67,[1]Legend!$B$67,IF(J25=[1]Legend!$A$68, [1]Legend!$B$68, IF(J25=[1]Legend!$A$69, [1]Legend!$B$69, IF(J25=[1]Legend!$A$70, [1]Legend!$B$70, IF(J25=[1]Legend!$A$71, [1]Legend!$B$71, IF(J25=[1]Legend!$A$72, [1]Legend!$B$72, (IF(J25=[1]Legend!$A$73, [1]Legend!$B$73, IF(J25=[1]Legend!$A$74, [1]Legend!$B$74, "")))))))))))</f>
        <v>120</v>
      </c>
      <c r="L25" s="5">
        <v>119</v>
      </c>
      <c r="M25" s="5">
        <v>3</v>
      </c>
      <c r="N25" s="5" t="s">
        <v>30</v>
      </c>
      <c r="O25" s="5"/>
    </row>
    <row r="26" spans="1:15" ht="14" customHeight="1" x14ac:dyDescent="0.45">
      <c r="A26" s="7">
        <v>45554</v>
      </c>
      <c r="B26" s="5" t="s">
        <v>24</v>
      </c>
      <c r="C26" s="5" t="s">
        <v>16</v>
      </c>
      <c r="D26" s="5">
        <v>1</v>
      </c>
      <c r="E26" s="5">
        <v>7</v>
      </c>
      <c r="F26" s="5">
        <v>1</v>
      </c>
      <c r="G26" s="7">
        <v>45588</v>
      </c>
      <c r="H26" s="5" t="s">
        <v>17</v>
      </c>
      <c r="I26" s="5">
        <v>4</v>
      </c>
      <c r="J26" s="5" t="s">
        <v>26</v>
      </c>
      <c r="K26" s="6">
        <f>IF(J26=[1]Legend!$A$66,[1]Legend!$B$66,(IF(J26=[1]Legend!$A$67,[1]Legend!$B$67,IF(J26=[1]Legend!$A$68, [1]Legend!$B$68, IF(J26=[1]Legend!$A$69, [1]Legend!$B$69, IF(J26=[1]Legend!$A$70, [1]Legend!$B$70, IF(J26=[1]Legend!$A$71, [1]Legend!$B$71, IF(J26=[1]Legend!$A$72, [1]Legend!$B$72, (IF(J26=[1]Legend!$A$73, [1]Legend!$B$73, IF(J26=[1]Legend!$A$74, [1]Legend!$B$74, "")))))))))))</f>
        <v>3</v>
      </c>
      <c r="L26" s="5">
        <v>3</v>
      </c>
      <c r="M26" s="5"/>
      <c r="N26" s="5"/>
      <c r="O26" s="5"/>
    </row>
    <row r="27" spans="1:15" ht="14" customHeight="1" x14ac:dyDescent="0.45">
      <c r="A27" s="7">
        <v>45554</v>
      </c>
      <c r="B27" s="5" t="s">
        <v>24</v>
      </c>
      <c r="C27" s="5" t="s">
        <v>16</v>
      </c>
      <c r="D27" s="5">
        <v>1</v>
      </c>
      <c r="E27" s="5">
        <v>7</v>
      </c>
      <c r="F27" s="5">
        <v>1</v>
      </c>
      <c r="G27" s="7">
        <v>45588</v>
      </c>
      <c r="H27" s="5" t="s">
        <v>17</v>
      </c>
      <c r="I27" s="5">
        <v>4</v>
      </c>
      <c r="J27" s="5" t="s">
        <v>28</v>
      </c>
      <c r="K27" s="6">
        <f>IF(J27=[1]Legend!$A$66,[1]Legend!$B$66,(IF(J27=[1]Legend!$A$67,[1]Legend!$B$67,IF(J27=[1]Legend!$A$68, [1]Legend!$B$68, IF(J27=[1]Legend!$A$69, [1]Legend!$B$69, IF(J27=[1]Legend!$A$70, [1]Legend!$B$70, IF(J27=[1]Legend!$A$71, [1]Legend!$B$71, IF(J27=[1]Legend!$A$72, [1]Legend!$B$72, (IF(J27=[1]Legend!$A$73, [1]Legend!$B$73, IF(J27=[1]Legend!$A$74, [1]Legend!$B$74, "")))))))))))</f>
        <v>120</v>
      </c>
      <c r="L27" s="5">
        <v>120</v>
      </c>
      <c r="M27" s="5">
        <v>3</v>
      </c>
      <c r="N27" s="5" t="s">
        <v>30</v>
      </c>
      <c r="O27" s="5" t="s">
        <v>66</v>
      </c>
    </row>
    <row r="28" spans="1:15" ht="14" customHeight="1" x14ac:dyDescent="0.45">
      <c r="A28" s="7">
        <v>45554</v>
      </c>
      <c r="B28" s="5" t="s">
        <v>24</v>
      </c>
      <c r="C28" s="5" t="s">
        <v>16</v>
      </c>
      <c r="D28" s="5">
        <v>1</v>
      </c>
      <c r="E28" s="5">
        <v>7</v>
      </c>
      <c r="F28" s="5">
        <v>2</v>
      </c>
      <c r="G28" s="7">
        <v>45588</v>
      </c>
      <c r="H28" s="5" t="s">
        <v>17</v>
      </c>
      <c r="I28" s="5">
        <v>4</v>
      </c>
      <c r="J28" s="5" t="s">
        <v>26</v>
      </c>
      <c r="K28" s="6">
        <f>IF(J28=[1]Legend!$A$66,[1]Legend!$B$66,(IF(J28=[1]Legend!$A$67,[1]Legend!$B$67,IF(J28=[1]Legend!$A$68, [1]Legend!$B$68, IF(J28=[1]Legend!$A$69, [1]Legend!$B$69, IF(J28=[1]Legend!$A$70, [1]Legend!$B$70, IF(J28=[1]Legend!$A$71, [1]Legend!$B$71, IF(J28=[1]Legend!$A$72, [1]Legend!$B$72, (IF(J28=[1]Legend!$A$73, [1]Legend!$B$73, IF(J28=[1]Legend!$A$74, [1]Legend!$B$74, "")))))))))))</f>
        <v>3</v>
      </c>
      <c r="L28" s="5">
        <v>3</v>
      </c>
      <c r="M28" s="5"/>
      <c r="N28" s="5"/>
      <c r="O28" s="5"/>
    </row>
    <row r="29" spans="1:15" ht="14" customHeight="1" x14ac:dyDescent="0.45">
      <c r="A29" s="7">
        <v>45554</v>
      </c>
      <c r="B29" s="5" t="s">
        <v>24</v>
      </c>
      <c r="C29" s="5" t="s">
        <v>16</v>
      </c>
      <c r="D29" s="5">
        <v>1</v>
      </c>
      <c r="E29" s="5">
        <v>7</v>
      </c>
      <c r="F29" s="5">
        <v>2</v>
      </c>
      <c r="G29" s="7">
        <v>45588</v>
      </c>
      <c r="H29" s="5" t="s">
        <v>17</v>
      </c>
      <c r="I29" s="5">
        <v>4</v>
      </c>
      <c r="J29" s="5" t="s">
        <v>28</v>
      </c>
      <c r="K29" s="6">
        <f>IF(J29=[1]Legend!$A$66,[1]Legend!$B$66,(IF(J29=[1]Legend!$A$67,[1]Legend!$B$67,IF(J29=[1]Legend!$A$68, [1]Legend!$B$68, IF(J29=[1]Legend!$A$69, [1]Legend!$B$69, IF(J29=[1]Legend!$A$70, [1]Legend!$B$70, IF(J29=[1]Legend!$A$71, [1]Legend!$B$71, IF(J29=[1]Legend!$A$72, [1]Legend!$B$72, (IF(J29=[1]Legend!$A$73, [1]Legend!$B$73, IF(J29=[1]Legend!$A$74, [1]Legend!$B$74, "")))))))))))</f>
        <v>120</v>
      </c>
      <c r="L29" s="5">
        <v>117</v>
      </c>
      <c r="M29" s="5">
        <v>4</v>
      </c>
      <c r="N29" s="5" t="s">
        <v>30</v>
      </c>
      <c r="O29" s="5" t="s">
        <v>67</v>
      </c>
    </row>
    <row r="30" spans="1:15" ht="14" customHeight="1" x14ac:dyDescent="0.45">
      <c r="A30" s="7">
        <v>45554</v>
      </c>
      <c r="B30" s="5" t="s">
        <v>24</v>
      </c>
      <c r="C30" s="5" t="s">
        <v>16</v>
      </c>
      <c r="D30" s="5">
        <v>1</v>
      </c>
      <c r="E30" s="5">
        <v>8</v>
      </c>
      <c r="F30" s="5">
        <v>1</v>
      </c>
      <c r="G30" s="7">
        <v>45588</v>
      </c>
      <c r="H30" s="5" t="s">
        <v>17</v>
      </c>
      <c r="I30" s="5">
        <v>4</v>
      </c>
      <c r="J30" s="5" t="s">
        <v>26</v>
      </c>
      <c r="K30" s="6">
        <f>IF(J30=[1]Legend!$A$66,[1]Legend!$B$66,(IF(J30=[1]Legend!$A$67,[1]Legend!$B$67,IF(J30=[1]Legend!$A$68, [1]Legend!$B$68, IF(J30=[1]Legend!$A$69, [1]Legend!$B$69, IF(J30=[1]Legend!$A$70, [1]Legend!$B$70, IF(J30=[1]Legend!$A$71, [1]Legend!$B$71, IF(J30=[1]Legend!$A$72, [1]Legend!$B$72, (IF(J30=[1]Legend!$A$73, [1]Legend!$B$73, IF(J30=[1]Legend!$A$74, [1]Legend!$B$74, "")))))))))))</f>
        <v>3</v>
      </c>
      <c r="L30" s="5">
        <v>0</v>
      </c>
      <c r="M30" s="5"/>
      <c r="N30" s="5"/>
      <c r="O30" s="5"/>
    </row>
    <row r="31" spans="1:15" ht="14" customHeight="1" x14ac:dyDescent="0.45">
      <c r="A31" s="7">
        <v>45554</v>
      </c>
      <c r="B31" s="5" t="s">
        <v>24</v>
      </c>
      <c r="C31" s="5" t="s">
        <v>16</v>
      </c>
      <c r="D31" s="5">
        <v>1</v>
      </c>
      <c r="E31" s="5">
        <v>8</v>
      </c>
      <c r="F31" s="5">
        <v>1</v>
      </c>
      <c r="G31" s="7">
        <v>45588</v>
      </c>
      <c r="H31" s="5" t="s">
        <v>17</v>
      </c>
      <c r="I31" s="5">
        <v>4</v>
      </c>
      <c r="J31" s="5" t="s">
        <v>28</v>
      </c>
      <c r="K31" s="6">
        <f>IF(J31=[1]Legend!$A$66,[1]Legend!$B$66,(IF(J31=[1]Legend!$A$67,[1]Legend!$B$67,IF(J31=[1]Legend!$A$68, [1]Legend!$B$68, IF(J31=[1]Legend!$A$69, [1]Legend!$B$69, IF(J31=[1]Legend!$A$70, [1]Legend!$B$70, IF(J31=[1]Legend!$A$71, [1]Legend!$B$71, IF(J31=[1]Legend!$A$72, [1]Legend!$B$72, (IF(J31=[1]Legend!$A$73, [1]Legend!$B$73, IF(J31=[1]Legend!$A$74, [1]Legend!$B$74, "")))))))))))</f>
        <v>120</v>
      </c>
      <c r="L31" s="5">
        <v>110</v>
      </c>
      <c r="M31" s="5">
        <v>1</v>
      </c>
      <c r="N31" s="5" t="s">
        <v>30</v>
      </c>
      <c r="O31" s="5"/>
    </row>
    <row r="32" spans="1:15" ht="14" customHeight="1" x14ac:dyDescent="0.45">
      <c r="A32" s="7">
        <v>45554</v>
      </c>
      <c r="B32" s="5" t="s">
        <v>24</v>
      </c>
      <c r="C32" s="5" t="s">
        <v>16</v>
      </c>
      <c r="D32" s="5">
        <v>1</v>
      </c>
      <c r="E32" s="5">
        <v>8</v>
      </c>
      <c r="F32" s="5">
        <v>2</v>
      </c>
      <c r="G32" s="7">
        <v>45588</v>
      </c>
      <c r="H32" s="5" t="s">
        <v>17</v>
      </c>
      <c r="I32" s="5">
        <v>4</v>
      </c>
      <c r="J32" s="5" t="s">
        <v>26</v>
      </c>
      <c r="K32" s="6">
        <f>IF(J32=[1]Legend!$A$66,[1]Legend!$B$66,(IF(J32=[1]Legend!$A$67,[1]Legend!$B$67,IF(J32=[1]Legend!$A$68, [1]Legend!$B$68, IF(J32=[1]Legend!$A$69, [1]Legend!$B$69, IF(J32=[1]Legend!$A$70, [1]Legend!$B$70, IF(J32=[1]Legend!$A$71, [1]Legend!$B$71, IF(J32=[1]Legend!$A$72, [1]Legend!$B$72, (IF(J32=[1]Legend!$A$73, [1]Legend!$B$73, IF(J32=[1]Legend!$A$74, [1]Legend!$B$74, "")))))))))))</f>
        <v>3</v>
      </c>
      <c r="L32" s="5">
        <v>3</v>
      </c>
      <c r="M32" s="5"/>
      <c r="N32" s="5"/>
      <c r="O32" s="5"/>
    </row>
    <row r="33" spans="1:15" ht="14" customHeight="1" x14ac:dyDescent="0.45">
      <c r="A33" s="7">
        <v>45554</v>
      </c>
      <c r="B33" s="5" t="s">
        <v>24</v>
      </c>
      <c r="C33" s="5" t="s">
        <v>16</v>
      </c>
      <c r="D33" s="5">
        <v>1</v>
      </c>
      <c r="E33" s="5">
        <v>8</v>
      </c>
      <c r="F33" s="5">
        <v>2</v>
      </c>
      <c r="G33" s="7">
        <v>45588</v>
      </c>
      <c r="H33" s="5" t="s">
        <v>17</v>
      </c>
      <c r="I33" s="5">
        <v>4</v>
      </c>
      <c r="J33" s="5" t="s">
        <v>28</v>
      </c>
      <c r="K33" s="6">
        <f>IF(J33=[1]Legend!$A$66,[1]Legend!$B$66,(IF(J33=[1]Legend!$A$67,[1]Legend!$B$67,IF(J33=[1]Legend!$A$68, [1]Legend!$B$68, IF(J33=[1]Legend!$A$69, [1]Legend!$B$69, IF(J33=[1]Legend!$A$70, [1]Legend!$B$70, IF(J33=[1]Legend!$A$71, [1]Legend!$B$71, IF(J33=[1]Legend!$A$72, [1]Legend!$B$72, (IF(J33=[1]Legend!$A$73, [1]Legend!$B$73, IF(J33=[1]Legend!$A$74, [1]Legend!$B$74, "")))))))))))</f>
        <v>120</v>
      </c>
      <c r="L33" s="5">
        <v>120</v>
      </c>
      <c r="M33" s="5">
        <v>3</v>
      </c>
      <c r="N33" s="5" t="s">
        <v>30</v>
      </c>
      <c r="O33" s="5"/>
    </row>
    <row r="34" spans="1:15" ht="14" customHeight="1" x14ac:dyDescent="0.45">
      <c r="A34" s="8">
        <v>45554</v>
      </c>
      <c r="B34" s="15" t="s">
        <v>24</v>
      </c>
      <c r="C34" s="15" t="s">
        <v>132</v>
      </c>
      <c r="D34" s="15">
        <v>1</v>
      </c>
      <c r="E34" s="15">
        <v>9</v>
      </c>
      <c r="F34" s="15">
        <v>1</v>
      </c>
      <c r="G34" s="8">
        <v>45699</v>
      </c>
      <c r="H34" s="15" t="s">
        <v>91</v>
      </c>
      <c r="I34" s="15">
        <v>4</v>
      </c>
      <c r="J34" s="15" t="s">
        <v>26</v>
      </c>
      <c r="K34" s="6">
        <f>IF(J34=[10]Legend!$A$67,[10]Legend!$B$67,(IF(J34=[10]Legend!$A$68,[10]Legend!$B$68,IF(J34=[10]Legend!$A$69, [10]Legend!$B$69, IF(J34=[10]Legend!$A$70, [10]Legend!$B$70, IF(J34=[10]Legend!$A$71, [10]Legend!$B$71, IF(J34=[10]Legend!$A$72, [10]Legend!$B$72, IF(J34=[10]Legend!$A$73, [10]Legend!$B$73, (IF(J34=[10]Legend!$A$74, [10]Legend!$B$74, IF(J34=[10]Legend!$A$75, [10]Legend!$B$75, "")))))))))))</f>
        <v>3</v>
      </c>
      <c r="L34" s="5">
        <v>3</v>
      </c>
      <c r="M34" s="5">
        <v>0</v>
      </c>
      <c r="N34" s="5"/>
      <c r="O34" s="5"/>
    </row>
    <row r="35" spans="1:15" ht="14" customHeight="1" x14ac:dyDescent="0.45">
      <c r="A35" s="8">
        <v>45554</v>
      </c>
      <c r="B35" s="15" t="s">
        <v>24</v>
      </c>
      <c r="C35" s="15" t="s">
        <v>132</v>
      </c>
      <c r="D35" s="15">
        <v>1</v>
      </c>
      <c r="E35" s="15">
        <v>9</v>
      </c>
      <c r="F35" s="15">
        <v>1</v>
      </c>
      <c r="G35" s="8">
        <v>45699</v>
      </c>
      <c r="H35" s="15" t="s">
        <v>91</v>
      </c>
      <c r="I35" s="15">
        <v>4</v>
      </c>
      <c r="J35" s="15" t="s">
        <v>28</v>
      </c>
      <c r="K35" s="6">
        <f>IF(J35=[10]Legend!$A$67,[10]Legend!$B$67,(IF(J35=[10]Legend!$A$68,[10]Legend!$B$68,IF(J35=[10]Legend!$A$69, [10]Legend!$B$69, IF(J35=[10]Legend!$A$70, [10]Legend!$B$70, IF(J35=[10]Legend!$A$71, [10]Legend!$B$71, IF(J35=[10]Legend!$A$72, [10]Legend!$B$72, IF(J35=[10]Legend!$A$73, [10]Legend!$B$73, (IF(J35=[10]Legend!$A$74, [10]Legend!$B$74, IF(J35=[10]Legend!$A$75, [10]Legend!$B$75, "")))))))))))</f>
        <v>120</v>
      </c>
      <c r="L35" s="5">
        <v>119</v>
      </c>
      <c r="M35" s="5">
        <v>6</v>
      </c>
      <c r="N35" s="5" t="s">
        <v>23</v>
      </c>
      <c r="O35" s="5"/>
    </row>
    <row r="36" spans="1:15" ht="14" customHeight="1" x14ac:dyDescent="0.45">
      <c r="A36" s="8">
        <v>45554</v>
      </c>
      <c r="B36" s="15" t="s">
        <v>24</v>
      </c>
      <c r="C36" s="15" t="s">
        <v>132</v>
      </c>
      <c r="D36" s="15">
        <v>1</v>
      </c>
      <c r="E36" s="15">
        <v>9</v>
      </c>
      <c r="F36" s="15">
        <v>2</v>
      </c>
      <c r="G36" s="8">
        <v>45699</v>
      </c>
      <c r="H36" s="15" t="s">
        <v>91</v>
      </c>
      <c r="I36" s="15">
        <v>4</v>
      </c>
      <c r="J36" s="15" t="s">
        <v>26</v>
      </c>
      <c r="K36" s="6">
        <f>IF(J36=[10]Legend!$A$67,[10]Legend!$B$67,(IF(J36=[10]Legend!$A$68,[10]Legend!$B$68,IF(J36=[10]Legend!$A$69, [10]Legend!$B$69, IF(J36=[10]Legend!$A$70, [10]Legend!$B$70, IF(J36=[10]Legend!$A$71, [10]Legend!$B$71, IF(J36=[10]Legend!$A$72, [10]Legend!$B$72, IF(J36=[10]Legend!$A$73, [10]Legend!$B$73, (IF(J36=[10]Legend!$A$74, [10]Legend!$B$74, IF(J36=[10]Legend!$A$75, [10]Legend!$B$75, "")))))))))))</f>
        <v>3</v>
      </c>
      <c r="L36" s="5">
        <v>3</v>
      </c>
      <c r="M36" s="5">
        <v>0</v>
      </c>
      <c r="N36" s="5"/>
      <c r="O36" s="5" t="s">
        <v>142</v>
      </c>
    </row>
    <row r="37" spans="1:15" ht="14" customHeight="1" x14ac:dyDescent="0.45">
      <c r="A37" s="8">
        <v>45554</v>
      </c>
      <c r="B37" s="15" t="s">
        <v>24</v>
      </c>
      <c r="C37" s="15" t="s">
        <v>132</v>
      </c>
      <c r="D37" s="15">
        <v>1</v>
      </c>
      <c r="E37" s="15">
        <v>9</v>
      </c>
      <c r="F37" s="15">
        <v>2</v>
      </c>
      <c r="G37" s="8">
        <v>45699</v>
      </c>
      <c r="H37" s="15" t="s">
        <v>91</v>
      </c>
      <c r="I37" s="15">
        <v>4</v>
      </c>
      <c r="J37" s="15" t="s">
        <v>28</v>
      </c>
      <c r="K37" s="6">
        <f>IF(J37=[10]Legend!$A$67,[10]Legend!$B$67,(IF(J37=[10]Legend!$A$68,[10]Legend!$B$68,IF(J37=[10]Legend!$A$69, [10]Legend!$B$69, IF(J37=[10]Legend!$A$70, [10]Legend!$B$70, IF(J37=[10]Legend!$A$71, [10]Legend!$B$71, IF(J37=[10]Legend!$A$72, [10]Legend!$B$72, IF(J37=[10]Legend!$A$73, [10]Legend!$B$73, (IF(J37=[10]Legend!$A$74, [10]Legend!$B$74, IF(J37=[10]Legend!$A$75, [10]Legend!$B$75, "")))))))))))</f>
        <v>120</v>
      </c>
      <c r="L37" s="5">
        <v>119</v>
      </c>
      <c r="M37" s="5">
        <v>1</v>
      </c>
      <c r="N37" s="5" t="s">
        <v>21</v>
      </c>
      <c r="O37" s="5" t="s">
        <v>142</v>
      </c>
    </row>
    <row r="38" spans="1:15" ht="14" customHeight="1" x14ac:dyDescent="0.45">
      <c r="A38" s="7">
        <v>45554</v>
      </c>
      <c r="B38" s="5" t="s">
        <v>24</v>
      </c>
      <c r="C38" s="5" t="s">
        <v>16</v>
      </c>
      <c r="D38" s="5">
        <v>1</v>
      </c>
      <c r="E38" s="5">
        <v>10</v>
      </c>
      <c r="F38" s="5">
        <v>1</v>
      </c>
      <c r="G38" s="7">
        <v>45588</v>
      </c>
      <c r="H38" s="5" t="s">
        <v>17</v>
      </c>
      <c r="I38" s="5">
        <v>4</v>
      </c>
      <c r="J38" s="5" t="s">
        <v>26</v>
      </c>
      <c r="K38" s="6">
        <f>IF(J38=[1]Legend!$A$66,[1]Legend!$B$66,(IF(J38=[1]Legend!$A$67,[1]Legend!$B$67,IF(J38=[1]Legend!$A$68, [1]Legend!$B$68, IF(J38=[1]Legend!$A$69, [1]Legend!$B$69, IF(J38=[1]Legend!$A$70, [1]Legend!$B$70, IF(J38=[1]Legend!$A$71, [1]Legend!$B$71, IF(J38=[1]Legend!$A$72, [1]Legend!$B$72, (IF(J38=[1]Legend!$A$73, [1]Legend!$B$73, IF(J38=[1]Legend!$A$74, [1]Legend!$B$74, "")))))))))))</f>
        <v>3</v>
      </c>
      <c r="L38" s="5">
        <v>2</v>
      </c>
      <c r="M38" s="5"/>
      <c r="N38" s="5"/>
      <c r="O38" s="5" t="s">
        <v>41</v>
      </c>
    </row>
    <row r="39" spans="1:15" ht="14" customHeight="1" x14ac:dyDescent="0.45">
      <c r="A39" s="7">
        <v>45554</v>
      </c>
      <c r="B39" s="5" t="s">
        <v>24</v>
      </c>
      <c r="C39" s="5" t="s">
        <v>16</v>
      </c>
      <c r="D39" s="5">
        <v>1</v>
      </c>
      <c r="E39" s="5">
        <v>10</v>
      </c>
      <c r="F39" s="5">
        <v>1</v>
      </c>
      <c r="G39" s="7">
        <v>45588</v>
      </c>
      <c r="H39" s="5" t="s">
        <v>17</v>
      </c>
      <c r="I39" s="5">
        <v>4</v>
      </c>
      <c r="J39" s="5" t="s">
        <v>28</v>
      </c>
      <c r="K39" s="6">
        <f>IF(J39=[1]Legend!$A$66,[1]Legend!$B$66,(IF(J39=[1]Legend!$A$67,[1]Legend!$B$67,IF(J39=[1]Legend!$A$68, [1]Legend!$B$68, IF(J39=[1]Legend!$A$69, [1]Legend!$B$69, IF(J39=[1]Legend!$A$70, [1]Legend!$B$70, IF(J39=[1]Legend!$A$71, [1]Legend!$B$71, IF(J39=[1]Legend!$A$72, [1]Legend!$B$72, (IF(J39=[1]Legend!$A$73, [1]Legend!$B$73, IF(J39=[1]Legend!$A$74, [1]Legend!$B$74, "")))))))))))</f>
        <v>120</v>
      </c>
      <c r="L39" s="5">
        <v>119</v>
      </c>
      <c r="M39" s="5">
        <v>1</v>
      </c>
      <c r="N39" s="5" t="s">
        <v>30</v>
      </c>
      <c r="O39" s="5"/>
    </row>
    <row r="40" spans="1:15" ht="14" customHeight="1" x14ac:dyDescent="0.45">
      <c r="A40" s="7">
        <v>45554</v>
      </c>
      <c r="B40" s="5" t="s">
        <v>24</v>
      </c>
      <c r="C40" s="5" t="s">
        <v>16</v>
      </c>
      <c r="D40" s="5">
        <v>1</v>
      </c>
      <c r="E40" s="5">
        <v>10</v>
      </c>
      <c r="F40" s="5">
        <v>2</v>
      </c>
      <c r="G40" s="7">
        <v>45588</v>
      </c>
      <c r="H40" s="5" t="s">
        <v>17</v>
      </c>
      <c r="I40" s="5">
        <v>4</v>
      </c>
      <c r="J40" s="5" t="s">
        <v>26</v>
      </c>
      <c r="K40" s="6">
        <f>IF(J40=[1]Legend!$A$66,[1]Legend!$B$66,(IF(J40=[1]Legend!$A$67,[1]Legend!$B$67,IF(J40=[1]Legend!$A$68, [1]Legend!$B$68, IF(J40=[1]Legend!$A$69, [1]Legend!$B$69, IF(J40=[1]Legend!$A$70, [1]Legend!$B$70, IF(J40=[1]Legend!$A$71, [1]Legend!$B$71, IF(J40=[1]Legend!$A$72, [1]Legend!$B$72, (IF(J40=[1]Legend!$A$73, [1]Legend!$B$73, IF(J40=[1]Legend!$A$74, [1]Legend!$B$74, "")))))))))))</f>
        <v>3</v>
      </c>
      <c r="L40" s="5">
        <v>3</v>
      </c>
      <c r="M40" s="5"/>
      <c r="N40" s="5"/>
      <c r="O40" s="5" t="s">
        <v>56</v>
      </c>
    </row>
    <row r="41" spans="1:15" ht="14" customHeight="1" x14ac:dyDescent="0.45">
      <c r="A41" s="7">
        <v>45554</v>
      </c>
      <c r="B41" s="5" t="s">
        <v>24</v>
      </c>
      <c r="C41" s="5" t="s">
        <v>16</v>
      </c>
      <c r="D41" s="5">
        <v>1</v>
      </c>
      <c r="E41" s="5">
        <v>10</v>
      </c>
      <c r="F41" s="5">
        <v>2</v>
      </c>
      <c r="G41" s="7">
        <v>45588</v>
      </c>
      <c r="H41" s="5" t="s">
        <v>17</v>
      </c>
      <c r="I41" s="5">
        <v>4</v>
      </c>
      <c r="J41" s="5" t="s">
        <v>28</v>
      </c>
      <c r="K41" s="6">
        <f>IF(J41=[1]Legend!$A$66,[1]Legend!$B$66,(IF(J41=[1]Legend!$A$67,[1]Legend!$B$67,IF(J41=[1]Legend!$A$68, [1]Legend!$B$68, IF(J41=[1]Legend!$A$69, [1]Legend!$B$69, IF(J41=[1]Legend!$A$70, [1]Legend!$B$70, IF(J41=[1]Legend!$A$71, [1]Legend!$B$71, IF(J41=[1]Legend!$A$72, [1]Legend!$B$72, (IF(J41=[1]Legend!$A$73, [1]Legend!$B$73, IF(J41=[1]Legend!$A$74, [1]Legend!$B$74, "")))))))))))</f>
        <v>120</v>
      </c>
      <c r="L41" s="5">
        <v>119</v>
      </c>
      <c r="M41" s="5">
        <v>2</v>
      </c>
      <c r="N41" s="5" t="s">
        <v>23</v>
      </c>
      <c r="O41" s="5"/>
    </row>
    <row r="42" spans="1:15" ht="14" customHeight="1" x14ac:dyDescent="0.45">
      <c r="A42" s="7">
        <v>45561</v>
      </c>
      <c r="B42" s="5" t="s">
        <v>24</v>
      </c>
      <c r="C42" s="5" t="s">
        <v>25</v>
      </c>
      <c r="D42" s="5">
        <v>2</v>
      </c>
      <c r="E42" s="5">
        <v>1</v>
      </c>
      <c r="F42" s="5">
        <v>1</v>
      </c>
      <c r="G42" s="7">
        <v>45573</v>
      </c>
      <c r="H42" s="5" t="s">
        <v>17</v>
      </c>
      <c r="I42" s="5">
        <v>4</v>
      </c>
      <c r="J42" s="5" t="s">
        <v>26</v>
      </c>
      <c r="K42" s="6">
        <f>IF(J42=[1]Legend!$A$66,[1]Legend!$B$66,(IF(J42=[1]Legend!$A$67,[1]Legend!$B$67,IF(J42=[1]Legend!$A$68, [1]Legend!$B$68, IF(J42=[1]Legend!$A$69, [1]Legend!$B$69, IF(J42=[1]Legend!$A$70, [1]Legend!$B$70, IF(J42=[1]Legend!$A$71, [1]Legend!$B$71, IF(J42=[1]Legend!$A$72, [1]Legend!$B$72, (IF(J42=[1]Legend!$A$73, [1]Legend!$B$73, IF(J42=[1]Legend!$A$74, [1]Legend!$B$74, "")))))))))))</f>
        <v>3</v>
      </c>
      <c r="L42" s="5">
        <v>3</v>
      </c>
      <c r="M42" s="5"/>
      <c r="N42" s="5"/>
      <c r="O42" s="5" t="s">
        <v>27</v>
      </c>
    </row>
    <row r="43" spans="1:15" ht="14" customHeight="1" x14ac:dyDescent="0.45">
      <c r="A43" s="3">
        <v>45561</v>
      </c>
      <c r="B43" s="5" t="s">
        <v>24</v>
      </c>
      <c r="C43" s="5" t="s">
        <v>25</v>
      </c>
      <c r="D43" s="5">
        <v>2</v>
      </c>
      <c r="E43" s="5">
        <v>1</v>
      </c>
      <c r="F43" s="5">
        <v>1</v>
      </c>
      <c r="G43" s="7">
        <v>45573</v>
      </c>
      <c r="H43" s="5" t="s">
        <v>17</v>
      </c>
      <c r="I43" s="5">
        <v>4</v>
      </c>
      <c r="J43" s="5" t="s">
        <v>28</v>
      </c>
      <c r="K43" s="6">
        <f>IF(J43=[1]Legend!$A$66,[1]Legend!$B$66,(IF(J43=[1]Legend!$A$67,[1]Legend!$B$67,IF(J43=[1]Legend!$A$68, [1]Legend!$B$68, IF(J43=[1]Legend!$A$69, [1]Legend!$B$69, IF(J43=[1]Legend!$A$70, [1]Legend!$B$70, IF(J43=[1]Legend!$A$71, [1]Legend!$B$71, IF(J43=[1]Legend!$A$72, [1]Legend!$B$72, (IF(J43=[1]Legend!$A$73, [1]Legend!$B$73, IF(J43=[1]Legend!$A$74, [1]Legend!$B$74, "")))))))))))</f>
        <v>120</v>
      </c>
      <c r="L43" s="5">
        <v>120</v>
      </c>
      <c r="M43" s="5">
        <v>4</v>
      </c>
      <c r="N43" s="5" t="s">
        <v>23</v>
      </c>
      <c r="O43" s="5"/>
    </row>
    <row r="44" spans="1:15" ht="14" customHeight="1" x14ac:dyDescent="0.45">
      <c r="A44" s="3">
        <v>45561</v>
      </c>
      <c r="B44" s="5" t="s">
        <v>24</v>
      </c>
      <c r="C44" s="5" t="s">
        <v>25</v>
      </c>
      <c r="D44" s="5">
        <v>2</v>
      </c>
      <c r="E44" s="5">
        <v>1</v>
      </c>
      <c r="F44" s="5">
        <v>2</v>
      </c>
      <c r="G44" s="7">
        <v>45573</v>
      </c>
      <c r="H44" s="5" t="s">
        <v>17</v>
      </c>
      <c r="I44" s="5">
        <v>4</v>
      </c>
      <c r="J44" s="5" t="s">
        <v>26</v>
      </c>
      <c r="K44" s="6">
        <f>IF(J44=[1]Legend!$A$66,[1]Legend!$B$66,(IF(J44=[1]Legend!$A$67,[1]Legend!$B$67,IF(J44=[1]Legend!$A$68, [1]Legend!$B$68, IF(J44=[1]Legend!$A$69, [1]Legend!$B$69, IF(J44=[1]Legend!$A$70, [1]Legend!$B$70, IF(J44=[1]Legend!$A$71, [1]Legend!$B$71, IF(J44=[1]Legend!$A$72, [1]Legend!$B$72, (IF(J44=[1]Legend!$A$73, [1]Legend!$B$73, IF(J44=[1]Legend!$A$74, [1]Legend!$B$74, "")))))))))))</f>
        <v>3</v>
      </c>
      <c r="L44" s="5">
        <v>3</v>
      </c>
      <c r="M44" s="5"/>
      <c r="N44" s="5"/>
      <c r="O44" s="5" t="s">
        <v>29</v>
      </c>
    </row>
    <row r="45" spans="1:15" ht="14" customHeight="1" x14ac:dyDescent="0.45">
      <c r="A45" s="3">
        <v>45561</v>
      </c>
      <c r="B45" s="5" t="s">
        <v>24</v>
      </c>
      <c r="C45" s="5" t="s">
        <v>25</v>
      </c>
      <c r="D45" s="5">
        <v>2</v>
      </c>
      <c r="E45" s="5">
        <v>1</v>
      </c>
      <c r="F45" s="5">
        <v>2</v>
      </c>
      <c r="G45" s="7">
        <v>45573</v>
      </c>
      <c r="H45" s="5" t="s">
        <v>17</v>
      </c>
      <c r="I45" s="5">
        <v>4</v>
      </c>
      <c r="J45" s="5" t="s">
        <v>28</v>
      </c>
      <c r="K45" s="6">
        <f>IF(J45=[1]Legend!$A$66,[1]Legend!$B$66,(IF(J45=[1]Legend!$A$67,[1]Legend!$B$67,IF(J45=[1]Legend!$A$68, [1]Legend!$B$68, IF(J45=[1]Legend!$A$69, [1]Legend!$B$69, IF(J45=[1]Legend!$A$70, [1]Legend!$B$70, IF(J45=[1]Legend!$A$71, [1]Legend!$B$71, IF(J45=[1]Legend!$A$72, [1]Legend!$B$72, (IF(J45=[1]Legend!$A$73, [1]Legend!$B$73, IF(J45=[1]Legend!$A$74, [1]Legend!$B$74, "")))))))))))</f>
        <v>120</v>
      </c>
      <c r="L45" s="5">
        <v>120</v>
      </c>
      <c r="M45" s="5"/>
      <c r="N45" s="5"/>
      <c r="O45" s="5"/>
    </row>
    <row r="46" spans="1:15" ht="14" customHeight="1" x14ac:dyDescent="0.45">
      <c r="A46" s="3">
        <v>45561</v>
      </c>
      <c r="B46" s="5" t="s">
        <v>24</v>
      </c>
      <c r="C46" s="5" t="s">
        <v>25</v>
      </c>
      <c r="D46" s="5">
        <v>2</v>
      </c>
      <c r="E46" s="5">
        <v>2</v>
      </c>
      <c r="F46" s="5">
        <v>1</v>
      </c>
      <c r="G46" s="7">
        <v>45573</v>
      </c>
      <c r="H46" s="5" t="s">
        <v>17</v>
      </c>
      <c r="I46" s="5">
        <v>4</v>
      </c>
      <c r="J46" s="5" t="s">
        <v>26</v>
      </c>
      <c r="K46" s="6">
        <f>IF(J46=[1]Legend!$A$66,[1]Legend!$B$66,(IF(J46=[1]Legend!$A$67,[1]Legend!$B$67,IF(J46=[1]Legend!$A$68, [1]Legend!$B$68, IF(J46=[1]Legend!$A$69, [1]Legend!$B$69, IF(J46=[1]Legend!$A$70, [1]Legend!$B$70, IF(J46=[1]Legend!$A$71, [1]Legend!$B$71, IF(J46=[1]Legend!$A$72, [1]Legend!$B$72, (IF(J46=[1]Legend!$A$73, [1]Legend!$B$73, IF(J46=[1]Legend!$A$74, [1]Legend!$B$74, "")))))))))))</f>
        <v>3</v>
      </c>
      <c r="L46" s="5">
        <v>3</v>
      </c>
      <c r="M46" s="5"/>
      <c r="N46" s="5"/>
      <c r="O46" s="5"/>
    </row>
    <row r="47" spans="1:15" ht="14" customHeight="1" x14ac:dyDescent="0.45">
      <c r="A47" s="3">
        <v>45561</v>
      </c>
      <c r="B47" s="5" t="s">
        <v>24</v>
      </c>
      <c r="C47" s="5" t="s">
        <v>25</v>
      </c>
      <c r="D47" s="5">
        <v>2</v>
      </c>
      <c r="E47" s="5">
        <v>2</v>
      </c>
      <c r="F47" s="5">
        <v>1</v>
      </c>
      <c r="G47" s="7">
        <v>45573</v>
      </c>
      <c r="H47" s="5" t="s">
        <v>17</v>
      </c>
      <c r="I47" s="5">
        <v>4</v>
      </c>
      <c r="J47" s="5" t="s">
        <v>28</v>
      </c>
      <c r="K47" s="6">
        <f>IF(J47=[1]Legend!$A$66,[1]Legend!$B$66,(IF(J47=[1]Legend!$A$67,[1]Legend!$B$67,IF(J47=[1]Legend!$A$68, [1]Legend!$B$68, IF(J47=[1]Legend!$A$69, [1]Legend!$B$69, IF(J47=[1]Legend!$A$70, [1]Legend!$B$70, IF(J47=[1]Legend!$A$71, [1]Legend!$B$71, IF(J47=[1]Legend!$A$72, [1]Legend!$B$72, (IF(J47=[1]Legend!$A$73, [1]Legend!$B$73, IF(J47=[1]Legend!$A$74, [1]Legend!$B$74, "")))))))))))</f>
        <v>120</v>
      </c>
      <c r="L47" s="5">
        <v>120</v>
      </c>
      <c r="M47" s="5">
        <v>4</v>
      </c>
      <c r="N47" s="5" t="s">
        <v>30</v>
      </c>
      <c r="O47" s="5"/>
    </row>
    <row r="48" spans="1:15" ht="14" customHeight="1" x14ac:dyDescent="0.45">
      <c r="A48" s="3">
        <v>45561</v>
      </c>
      <c r="B48" s="5" t="s">
        <v>24</v>
      </c>
      <c r="C48" s="5" t="s">
        <v>25</v>
      </c>
      <c r="D48" s="5">
        <v>2</v>
      </c>
      <c r="E48" s="5">
        <v>2</v>
      </c>
      <c r="F48" s="5">
        <v>2</v>
      </c>
      <c r="G48" s="7">
        <v>45573</v>
      </c>
      <c r="H48" s="5" t="s">
        <v>17</v>
      </c>
      <c r="I48" s="5">
        <v>4</v>
      </c>
      <c r="J48" s="5" t="s">
        <v>26</v>
      </c>
      <c r="K48" s="6">
        <f>IF(J48=[1]Legend!$A$66,[1]Legend!$B$66,(IF(J48=[1]Legend!$A$67,[1]Legend!$B$67,IF(J48=[1]Legend!$A$68, [1]Legend!$B$68, IF(J48=[1]Legend!$A$69, [1]Legend!$B$69, IF(J48=[1]Legend!$A$70, [1]Legend!$B$70, IF(J48=[1]Legend!$A$71, [1]Legend!$B$71, IF(J48=[1]Legend!$A$72, [1]Legend!$B$72, (IF(J48=[1]Legend!$A$73, [1]Legend!$B$73, IF(J48=[1]Legend!$A$74, [1]Legend!$B$74, "")))))))))))</f>
        <v>3</v>
      </c>
      <c r="L48" s="5">
        <v>3</v>
      </c>
      <c r="M48" s="5"/>
      <c r="N48" s="5"/>
      <c r="O48" s="5"/>
    </row>
    <row r="49" spans="1:15" ht="14" customHeight="1" x14ac:dyDescent="0.45">
      <c r="A49" s="3">
        <v>45561</v>
      </c>
      <c r="B49" s="5" t="s">
        <v>24</v>
      </c>
      <c r="C49" s="5" t="s">
        <v>25</v>
      </c>
      <c r="D49" s="5">
        <v>2</v>
      </c>
      <c r="E49" s="5">
        <v>2</v>
      </c>
      <c r="F49" s="5">
        <v>2</v>
      </c>
      <c r="G49" s="7">
        <v>45573</v>
      </c>
      <c r="H49" s="5" t="s">
        <v>17</v>
      </c>
      <c r="I49" s="5">
        <v>4</v>
      </c>
      <c r="J49" s="5" t="s">
        <v>28</v>
      </c>
      <c r="K49" s="6">
        <f>IF(J49=[1]Legend!$A$66,[1]Legend!$B$66,(IF(J49=[1]Legend!$A$67,[1]Legend!$B$67,IF(J49=[1]Legend!$A$68, [1]Legend!$B$68, IF(J49=[1]Legend!$A$69, [1]Legend!$B$69, IF(J49=[1]Legend!$A$70, [1]Legend!$B$70, IF(J49=[1]Legend!$A$71, [1]Legend!$B$71, IF(J49=[1]Legend!$A$72, [1]Legend!$B$72, (IF(J49=[1]Legend!$A$73, [1]Legend!$B$73, IF(J49=[1]Legend!$A$74, [1]Legend!$B$74, "")))))))))))</f>
        <v>120</v>
      </c>
      <c r="L49" s="5">
        <v>120</v>
      </c>
      <c r="M49" s="5">
        <v>2</v>
      </c>
      <c r="N49" s="5" t="s">
        <v>23</v>
      </c>
      <c r="O49" s="5"/>
    </row>
    <row r="50" spans="1:15" ht="14" customHeight="1" x14ac:dyDescent="0.45">
      <c r="A50" s="8">
        <v>45561</v>
      </c>
      <c r="B50" s="15" t="s">
        <v>24</v>
      </c>
      <c r="C50" s="15" t="s">
        <v>132</v>
      </c>
      <c r="D50" s="15">
        <v>2</v>
      </c>
      <c r="E50" s="15">
        <v>3</v>
      </c>
      <c r="F50" s="15">
        <v>2</v>
      </c>
      <c r="G50" s="8">
        <v>45699</v>
      </c>
      <c r="H50" s="15" t="s">
        <v>91</v>
      </c>
      <c r="I50" s="15">
        <v>4</v>
      </c>
      <c r="J50" s="15" t="s">
        <v>26</v>
      </c>
      <c r="K50" s="6">
        <f>IF(J50=[10]Legend!$A$67,[10]Legend!$B$67,(IF(J50=[10]Legend!$A$68,[10]Legend!$B$68,IF(J50=[10]Legend!$A$69, [10]Legend!$B$69, IF(J50=[10]Legend!$A$70, [10]Legend!$B$70, IF(J50=[10]Legend!$A$71, [10]Legend!$B$71, IF(J50=[10]Legend!$A$72, [10]Legend!$B$72, IF(J50=[10]Legend!$A$73, [10]Legend!$B$73, (IF(J50=[10]Legend!$A$74, [10]Legend!$B$74, IF(J50=[10]Legend!$A$75, [10]Legend!$B$75, "")))))))))))</f>
        <v>3</v>
      </c>
      <c r="L50" s="5">
        <v>3</v>
      </c>
      <c r="M50" s="5">
        <v>0</v>
      </c>
      <c r="N50" s="5"/>
      <c r="O50" s="5"/>
    </row>
    <row r="51" spans="1:15" ht="14" customHeight="1" x14ac:dyDescent="0.45">
      <c r="A51" s="8">
        <v>45561</v>
      </c>
      <c r="B51" s="15" t="s">
        <v>24</v>
      </c>
      <c r="C51" s="15" t="s">
        <v>132</v>
      </c>
      <c r="D51" s="15">
        <v>2</v>
      </c>
      <c r="E51" s="15">
        <v>3</v>
      </c>
      <c r="F51" s="15">
        <v>2</v>
      </c>
      <c r="G51" s="8">
        <v>45699</v>
      </c>
      <c r="H51" s="15" t="s">
        <v>91</v>
      </c>
      <c r="I51" s="15">
        <v>4</v>
      </c>
      <c r="J51" s="15" t="s">
        <v>28</v>
      </c>
      <c r="K51" s="6">
        <f>IF(J51=[10]Legend!$A$67,[10]Legend!$B$67,(IF(J51=[10]Legend!$A$68,[10]Legend!$B$68,IF(J51=[10]Legend!$A$69, [10]Legend!$B$69, IF(J51=[10]Legend!$A$70, [10]Legend!$B$70, IF(J51=[10]Legend!$A$71, [10]Legend!$B$71, IF(J51=[10]Legend!$A$72, [10]Legend!$B$72, IF(J51=[10]Legend!$A$73, [10]Legend!$B$73, (IF(J51=[10]Legend!$A$74, [10]Legend!$B$74, IF(J51=[10]Legend!$A$75, [10]Legend!$B$75, "")))))))))))</f>
        <v>120</v>
      </c>
      <c r="L51" s="5">
        <v>119</v>
      </c>
      <c r="M51" s="5">
        <v>2</v>
      </c>
      <c r="N51" s="5" t="s">
        <v>30</v>
      </c>
      <c r="O51" s="5"/>
    </row>
    <row r="52" spans="1:15" ht="14" customHeight="1" x14ac:dyDescent="0.45">
      <c r="A52" s="8">
        <v>45561</v>
      </c>
      <c r="B52" s="15" t="s">
        <v>24</v>
      </c>
      <c r="C52" s="15" t="s">
        <v>132</v>
      </c>
      <c r="D52" s="15">
        <v>2</v>
      </c>
      <c r="E52" s="15">
        <v>3</v>
      </c>
      <c r="F52" s="15">
        <v>1</v>
      </c>
      <c r="G52" s="8">
        <v>45699</v>
      </c>
      <c r="H52" s="15" t="s">
        <v>91</v>
      </c>
      <c r="I52" s="15">
        <v>4</v>
      </c>
      <c r="J52" s="15" t="s">
        <v>26</v>
      </c>
      <c r="K52" s="6">
        <f>IF(J52=[10]Legend!$A$67,[10]Legend!$B$67,(IF(J52=[10]Legend!$A$68,[10]Legend!$B$68,IF(J52=[10]Legend!$A$69, [10]Legend!$B$69, IF(J52=[10]Legend!$A$70, [10]Legend!$B$70, IF(J52=[10]Legend!$A$71, [10]Legend!$B$71, IF(J52=[10]Legend!$A$72, [10]Legend!$B$72, IF(J52=[10]Legend!$A$73, [10]Legend!$B$73, (IF(J52=[10]Legend!$A$74, [10]Legend!$B$74, IF(J52=[10]Legend!$A$75, [10]Legend!$B$75, "")))))))))))</f>
        <v>3</v>
      </c>
      <c r="L52" s="5">
        <v>0</v>
      </c>
      <c r="M52" s="5">
        <v>0</v>
      </c>
      <c r="N52" s="5"/>
      <c r="O52" s="5"/>
    </row>
    <row r="53" spans="1:15" ht="14" customHeight="1" x14ac:dyDescent="0.45">
      <c r="A53" s="8">
        <v>45561</v>
      </c>
      <c r="B53" s="15" t="s">
        <v>24</v>
      </c>
      <c r="C53" s="15" t="s">
        <v>132</v>
      </c>
      <c r="D53" s="15">
        <v>2</v>
      </c>
      <c r="E53" s="15">
        <v>3</v>
      </c>
      <c r="F53" s="15">
        <v>1</v>
      </c>
      <c r="G53" s="8">
        <v>45699</v>
      </c>
      <c r="H53" s="15" t="s">
        <v>91</v>
      </c>
      <c r="I53" s="15">
        <v>4</v>
      </c>
      <c r="J53" s="15" t="s">
        <v>28</v>
      </c>
      <c r="K53" s="6">
        <f>IF(J53=[10]Legend!$A$67,[10]Legend!$B$67,(IF(J53=[10]Legend!$A$68,[10]Legend!$B$68,IF(J53=[10]Legend!$A$69, [10]Legend!$B$69, IF(J53=[10]Legend!$A$70, [10]Legend!$B$70, IF(J53=[10]Legend!$A$71, [10]Legend!$B$71, IF(J53=[10]Legend!$A$72, [10]Legend!$B$72, IF(J53=[10]Legend!$A$73, [10]Legend!$B$73, (IF(J53=[10]Legend!$A$74, [10]Legend!$B$74, IF(J53=[10]Legend!$A$75, [10]Legend!$B$75, "")))))))))))</f>
        <v>120</v>
      </c>
      <c r="L53" s="5">
        <v>115</v>
      </c>
      <c r="M53" s="5">
        <v>3</v>
      </c>
      <c r="N53" s="5" t="s">
        <v>30</v>
      </c>
      <c r="O53" s="5"/>
    </row>
    <row r="54" spans="1:15" ht="14" customHeight="1" x14ac:dyDescent="0.45">
      <c r="A54" s="8">
        <v>45561</v>
      </c>
      <c r="B54" s="15" t="s">
        <v>24</v>
      </c>
      <c r="C54" s="15" t="s">
        <v>132</v>
      </c>
      <c r="D54" s="15">
        <v>2</v>
      </c>
      <c r="E54" s="15">
        <v>4</v>
      </c>
      <c r="F54" s="15">
        <v>2</v>
      </c>
      <c r="G54" s="8">
        <v>45699</v>
      </c>
      <c r="H54" s="15" t="s">
        <v>91</v>
      </c>
      <c r="I54" s="15">
        <v>4</v>
      </c>
      <c r="J54" s="15" t="s">
        <v>26</v>
      </c>
      <c r="K54" s="6">
        <f>IF(J54=[10]Legend!$A$67,[10]Legend!$B$67,(IF(J54=[10]Legend!$A$68,[10]Legend!$B$68,IF(J54=[10]Legend!$A$69, [10]Legend!$B$69, IF(J54=[10]Legend!$A$70, [10]Legend!$B$70, IF(J54=[10]Legend!$A$71, [10]Legend!$B$71, IF(J54=[10]Legend!$A$72, [10]Legend!$B$72, IF(J54=[10]Legend!$A$73, [10]Legend!$B$73, (IF(J54=[10]Legend!$A$74, [10]Legend!$B$74, IF(J54=[10]Legend!$A$75, [10]Legend!$B$75, "")))))))))))</f>
        <v>3</v>
      </c>
      <c r="L54" s="5">
        <v>3</v>
      </c>
      <c r="M54" s="5">
        <v>0</v>
      </c>
      <c r="N54" s="5"/>
      <c r="O54" s="5" t="s">
        <v>140</v>
      </c>
    </row>
    <row r="55" spans="1:15" ht="14" customHeight="1" x14ac:dyDescent="0.45">
      <c r="A55" s="8">
        <v>45561</v>
      </c>
      <c r="B55" s="15" t="s">
        <v>24</v>
      </c>
      <c r="C55" s="15" t="s">
        <v>132</v>
      </c>
      <c r="D55" s="15">
        <v>2</v>
      </c>
      <c r="E55" s="15">
        <v>4</v>
      </c>
      <c r="F55" s="15">
        <v>2</v>
      </c>
      <c r="G55" s="8">
        <v>45699</v>
      </c>
      <c r="H55" s="15" t="s">
        <v>91</v>
      </c>
      <c r="I55" s="15">
        <v>4</v>
      </c>
      <c r="J55" s="15" t="s">
        <v>28</v>
      </c>
      <c r="K55" s="6">
        <f>IF(J55=[10]Legend!$A$67,[10]Legend!$B$67,(IF(J55=[10]Legend!$A$68,[10]Legend!$B$68,IF(J55=[10]Legend!$A$69, [10]Legend!$B$69, IF(J55=[10]Legend!$A$70, [10]Legend!$B$70, IF(J55=[10]Legend!$A$71, [10]Legend!$B$71, IF(J55=[10]Legend!$A$72, [10]Legend!$B$72, IF(J55=[10]Legend!$A$73, [10]Legend!$B$73, (IF(J55=[10]Legend!$A$74, [10]Legend!$B$74, IF(J55=[10]Legend!$A$75, [10]Legend!$B$75, "")))))))))))</f>
        <v>120</v>
      </c>
      <c r="L55" s="5">
        <v>120</v>
      </c>
      <c r="M55" s="5">
        <v>2</v>
      </c>
      <c r="N55" s="5" t="s">
        <v>23</v>
      </c>
      <c r="O55" s="5" t="s">
        <v>140</v>
      </c>
    </row>
    <row r="56" spans="1:15" ht="14" customHeight="1" x14ac:dyDescent="0.45">
      <c r="A56" s="8">
        <v>45561</v>
      </c>
      <c r="B56" s="15" t="s">
        <v>24</v>
      </c>
      <c r="C56" s="15" t="s">
        <v>132</v>
      </c>
      <c r="D56" s="15">
        <v>2</v>
      </c>
      <c r="E56" s="15">
        <v>4</v>
      </c>
      <c r="F56" s="15">
        <v>1</v>
      </c>
      <c r="G56" s="8">
        <v>45699</v>
      </c>
      <c r="H56" s="15" t="s">
        <v>91</v>
      </c>
      <c r="I56" s="15">
        <v>4</v>
      </c>
      <c r="J56" s="15" t="s">
        <v>26</v>
      </c>
      <c r="K56" s="6">
        <f>IF(J56=[10]Legend!$A$67,[10]Legend!$B$67,(IF(J56=[10]Legend!$A$68,[10]Legend!$B$68,IF(J56=[10]Legend!$A$69, [10]Legend!$B$69, IF(J56=[10]Legend!$A$70, [10]Legend!$B$70, IF(J56=[10]Legend!$A$71, [10]Legend!$B$71, IF(J56=[10]Legend!$A$72, [10]Legend!$B$72, IF(J56=[10]Legend!$A$73, [10]Legend!$B$73, (IF(J56=[10]Legend!$A$74, [10]Legend!$B$74, IF(J56=[10]Legend!$A$75, [10]Legend!$B$75, "")))))))))))</f>
        <v>3</v>
      </c>
      <c r="L56" s="5">
        <v>3</v>
      </c>
      <c r="M56" s="5">
        <v>0</v>
      </c>
      <c r="N56" s="5"/>
      <c r="O56" s="5" t="s">
        <v>141</v>
      </c>
    </row>
    <row r="57" spans="1:15" ht="14" customHeight="1" x14ac:dyDescent="0.45">
      <c r="A57" s="8">
        <v>45561</v>
      </c>
      <c r="B57" s="15" t="s">
        <v>24</v>
      </c>
      <c r="C57" s="15" t="s">
        <v>132</v>
      </c>
      <c r="D57" s="15">
        <v>2</v>
      </c>
      <c r="E57" s="15">
        <v>4</v>
      </c>
      <c r="F57" s="15">
        <v>1</v>
      </c>
      <c r="G57" s="8">
        <v>45699</v>
      </c>
      <c r="H57" s="15" t="s">
        <v>91</v>
      </c>
      <c r="I57" s="15">
        <v>4</v>
      </c>
      <c r="J57" s="15" t="s">
        <v>28</v>
      </c>
      <c r="K57" s="6">
        <f>IF(J57=[10]Legend!$A$67,[10]Legend!$B$67,(IF(J57=[10]Legend!$A$68,[10]Legend!$B$68,IF(J57=[10]Legend!$A$69, [10]Legend!$B$69, IF(J57=[10]Legend!$A$70, [10]Legend!$B$70, IF(J57=[10]Legend!$A$71, [10]Legend!$B$71, IF(J57=[10]Legend!$A$72, [10]Legend!$B$72, IF(J57=[10]Legend!$A$73, [10]Legend!$B$73, (IF(J57=[10]Legend!$A$74, [10]Legend!$B$74, IF(J57=[10]Legend!$A$75, [10]Legend!$B$75, "")))))))))))</f>
        <v>120</v>
      </c>
      <c r="L57" s="5">
        <v>120</v>
      </c>
      <c r="M57" s="5">
        <v>2</v>
      </c>
      <c r="N57" s="5" t="s">
        <v>30</v>
      </c>
      <c r="O57" s="5" t="s">
        <v>141</v>
      </c>
    </row>
    <row r="58" spans="1:15" ht="14" customHeight="1" x14ac:dyDescent="0.45">
      <c r="A58" s="7">
        <v>45561</v>
      </c>
      <c r="B58" s="5" t="s">
        <v>24</v>
      </c>
      <c r="C58" s="5" t="s">
        <v>25</v>
      </c>
      <c r="D58" s="5">
        <v>2</v>
      </c>
      <c r="E58" s="5">
        <v>5</v>
      </c>
      <c r="F58" s="5">
        <v>1</v>
      </c>
      <c r="G58" s="7">
        <v>45573</v>
      </c>
      <c r="H58" s="5" t="s">
        <v>17</v>
      </c>
      <c r="I58" s="5">
        <v>4</v>
      </c>
      <c r="J58" s="5" t="s">
        <v>26</v>
      </c>
      <c r="K58" s="6">
        <f>IF(J58=[1]Legend!$A$66,[1]Legend!$B$66,(IF(J58=[1]Legend!$A$67,[1]Legend!$B$67,IF(J58=[1]Legend!$A$68, [1]Legend!$B$68, IF(J58=[1]Legend!$A$69, [1]Legend!$B$69, IF(J58=[1]Legend!$A$70, [1]Legend!$B$70, IF(J58=[1]Legend!$A$71, [1]Legend!$B$71, IF(J58=[1]Legend!$A$72, [1]Legend!$B$72, (IF(J58=[1]Legend!$A$73, [1]Legend!$B$73, IF(J58=[1]Legend!$A$74, [1]Legend!$B$74, "")))))))))))</f>
        <v>3</v>
      </c>
      <c r="L58" s="5">
        <v>3</v>
      </c>
      <c r="M58" s="5"/>
      <c r="N58" s="5"/>
      <c r="O58" s="5" t="s">
        <v>31</v>
      </c>
    </row>
    <row r="59" spans="1:15" ht="14" customHeight="1" x14ac:dyDescent="0.45">
      <c r="A59" s="7">
        <v>45561</v>
      </c>
      <c r="B59" s="5" t="s">
        <v>24</v>
      </c>
      <c r="C59" s="5" t="s">
        <v>25</v>
      </c>
      <c r="D59" s="5">
        <v>2</v>
      </c>
      <c r="E59" s="5">
        <v>5</v>
      </c>
      <c r="F59" s="5">
        <v>1</v>
      </c>
      <c r="G59" s="7">
        <v>45573</v>
      </c>
      <c r="H59" s="5" t="s">
        <v>17</v>
      </c>
      <c r="I59" s="5">
        <v>4</v>
      </c>
      <c r="J59" s="5" t="s">
        <v>28</v>
      </c>
      <c r="K59" s="6">
        <f>IF(J59=[1]Legend!$A$66,[1]Legend!$B$66,(IF(J59=[1]Legend!$A$67,[1]Legend!$B$67,IF(J59=[1]Legend!$A$68, [1]Legend!$B$68, IF(J59=[1]Legend!$A$69, [1]Legend!$B$69, IF(J59=[1]Legend!$A$70, [1]Legend!$B$70, IF(J59=[1]Legend!$A$71, [1]Legend!$B$71, IF(J59=[1]Legend!$A$72, [1]Legend!$B$72, (IF(J59=[1]Legend!$A$73, [1]Legend!$B$73, IF(J59=[1]Legend!$A$74, [1]Legend!$B$74, "")))))))))))</f>
        <v>120</v>
      </c>
      <c r="L59" s="5">
        <v>120</v>
      </c>
      <c r="M59" s="5">
        <v>4</v>
      </c>
      <c r="N59" s="5" t="s">
        <v>23</v>
      </c>
      <c r="O59" s="5"/>
    </row>
    <row r="60" spans="1:15" ht="14" customHeight="1" x14ac:dyDescent="0.45">
      <c r="A60" s="7">
        <v>45561</v>
      </c>
      <c r="B60" s="5" t="s">
        <v>24</v>
      </c>
      <c r="C60" s="5" t="s">
        <v>25</v>
      </c>
      <c r="D60" s="5">
        <v>2</v>
      </c>
      <c r="E60" s="5">
        <v>5</v>
      </c>
      <c r="F60" s="5">
        <v>2</v>
      </c>
      <c r="G60" s="7">
        <v>45573</v>
      </c>
      <c r="H60" s="5" t="s">
        <v>17</v>
      </c>
      <c r="I60" s="5">
        <v>4</v>
      </c>
      <c r="J60" s="5" t="s">
        <v>26</v>
      </c>
      <c r="K60" s="6">
        <f>IF(J60=[1]Legend!$A$66,[1]Legend!$B$66,(IF(J60=[1]Legend!$A$67,[1]Legend!$B$67,IF(J60=[1]Legend!$A$68, [1]Legend!$B$68, IF(J60=[1]Legend!$A$69, [1]Legend!$B$69, IF(J60=[1]Legend!$A$70, [1]Legend!$B$70, IF(J60=[1]Legend!$A$71, [1]Legend!$B$71, IF(J60=[1]Legend!$A$72, [1]Legend!$B$72, (IF(J60=[1]Legend!$A$73, [1]Legend!$B$73, IF(J60=[1]Legend!$A$74, [1]Legend!$B$74, "")))))))))))</f>
        <v>3</v>
      </c>
      <c r="L60" s="5">
        <v>3</v>
      </c>
      <c r="M60" s="5"/>
      <c r="N60" s="5"/>
      <c r="O60" s="5" t="s">
        <v>32</v>
      </c>
    </row>
    <row r="61" spans="1:15" ht="14" customHeight="1" x14ac:dyDescent="0.45">
      <c r="A61" s="7">
        <v>45561</v>
      </c>
      <c r="B61" s="5" t="s">
        <v>24</v>
      </c>
      <c r="C61" s="5" t="s">
        <v>25</v>
      </c>
      <c r="D61" s="5">
        <v>2</v>
      </c>
      <c r="E61" s="5">
        <v>5</v>
      </c>
      <c r="F61" s="5">
        <v>2</v>
      </c>
      <c r="G61" s="7">
        <v>45573</v>
      </c>
      <c r="H61" s="5" t="s">
        <v>17</v>
      </c>
      <c r="I61" s="5">
        <v>4</v>
      </c>
      <c r="J61" s="5" t="s">
        <v>28</v>
      </c>
      <c r="K61" s="6">
        <f>IF(J61=[1]Legend!$A$66,[1]Legend!$B$66,(IF(J61=[1]Legend!$A$67,[1]Legend!$B$67,IF(J61=[1]Legend!$A$68, [1]Legend!$B$68, IF(J61=[1]Legend!$A$69, [1]Legend!$B$69, IF(J61=[1]Legend!$A$70, [1]Legend!$B$70, IF(J61=[1]Legend!$A$71, [1]Legend!$B$71, IF(J61=[1]Legend!$A$72, [1]Legend!$B$72, (IF(J61=[1]Legend!$A$73, [1]Legend!$B$73, IF(J61=[1]Legend!$A$74, [1]Legend!$B$74, "")))))))))))</f>
        <v>120</v>
      </c>
      <c r="L61" s="5">
        <v>119</v>
      </c>
      <c r="M61" s="5">
        <v>4</v>
      </c>
      <c r="N61" s="5" t="s">
        <v>30</v>
      </c>
      <c r="O61" s="5"/>
    </row>
    <row r="62" spans="1:15" ht="14" customHeight="1" x14ac:dyDescent="0.45">
      <c r="A62" s="7">
        <v>45561</v>
      </c>
      <c r="B62" s="5" t="s">
        <v>24</v>
      </c>
      <c r="C62" s="5" t="s">
        <v>25</v>
      </c>
      <c r="D62" s="5">
        <v>2</v>
      </c>
      <c r="E62" s="5">
        <v>6</v>
      </c>
      <c r="F62" s="5">
        <v>1</v>
      </c>
      <c r="G62" s="7">
        <v>45573</v>
      </c>
      <c r="H62" s="5" t="s">
        <v>17</v>
      </c>
      <c r="I62" s="5">
        <v>4</v>
      </c>
      <c r="J62" s="5" t="s">
        <v>26</v>
      </c>
      <c r="K62" s="6">
        <f>IF(J62=[1]Legend!$A$66,[1]Legend!$B$66,(IF(J62=[1]Legend!$A$67,[1]Legend!$B$67,IF(J62=[1]Legend!$A$68, [1]Legend!$B$68, IF(J62=[1]Legend!$A$69, [1]Legend!$B$69, IF(J62=[1]Legend!$A$70, [1]Legend!$B$70, IF(J62=[1]Legend!$A$71, [1]Legend!$B$71, IF(J62=[1]Legend!$A$72, [1]Legend!$B$72, (IF(J62=[1]Legend!$A$73, [1]Legend!$B$73, IF(J62=[1]Legend!$A$74, [1]Legend!$B$74, "")))))))))))</f>
        <v>3</v>
      </c>
      <c r="L62" s="5">
        <v>3</v>
      </c>
      <c r="M62" s="5"/>
      <c r="N62" s="5"/>
      <c r="O62" s="5" t="s">
        <v>33</v>
      </c>
    </row>
    <row r="63" spans="1:15" ht="14" customHeight="1" x14ac:dyDescent="0.45">
      <c r="A63" s="7">
        <v>45561</v>
      </c>
      <c r="B63" s="5" t="s">
        <v>24</v>
      </c>
      <c r="C63" s="5" t="s">
        <v>25</v>
      </c>
      <c r="D63" s="5">
        <v>2</v>
      </c>
      <c r="E63" s="5">
        <v>6</v>
      </c>
      <c r="F63" s="5">
        <v>1</v>
      </c>
      <c r="G63" s="7">
        <v>45573</v>
      </c>
      <c r="H63" s="5" t="s">
        <v>17</v>
      </c>
      <c r="I63" s="5">
        <v>4</v>
      </c>
      <c r="J63" s="5" t="s">
        <v>28</v>
      </c>
      <c r="K63" s="6">
        <f>IF(J63=[1]Legend!$A$66,[1]Legend!$B$66,(IF(J63=[1]Legend!$A$67,[1]Legend!$B$67,IF(J63=[1]Legend!$A$68, [1]Legend!$B$68, IF(J63=[1]Legend!$A$69, [1]Legend!$B$69, IF(J63=[1]Legend!$A$70, [1]Legend!$B$70, IF(J63=[1]Legend!$A$71, [1]Legend!$B$71, IF(J63=[1]Legend!$A$72, [1]Legend!$B$72, (IF(J63=[1]Legend!$A$73, [1]Legend!$B$73, IF(J63=[1]Legend!$A$74, [1]Legend!$B$74, "")))))))))))</f>
        <v>120</v>
      </c>
      <c r="L63" s="5">
        <v>120</v>
      </c>
      <c r="M63" s="5"/>
      <c r="N63" s="5"/>
      <c r="O63" s="5"/>
    </row>
    <row r="64" spans="1:15" ht="14" customHeight="1" x14ac:dyDescent="0.45">
      <c r="A64" s="7">
        <v>45561</v>
      </c>
      <c r="B64" s="5" t="s">
        <v>24</v>
      </c>
      <c r="C64" s="5" t="s">
        <v>25</v>
      </c>
      <c r="D64" s="5">
        <v>2</v>
      </c>
      <c r="E64" s="5">
        <v>6</v>
      </c>
      <c r="F64" s="5">
        <v>2</v>
      </c>
      <c r="G64" s="7">
        <v>45573</v>
      </c>
      <c r="H64" s="5" t="s">
        <v>17</v>
      </c>
      <c r="I64" s="5">
        <v>4</v>
      </c>
      <c r="J64" s="5" t="s">
        <v>26</v>
      </c>
      <c r="K64" s="6">
        <f>IF(J64=[1]Legend!$A$66,[1]Legend!$B$66,(IF(J64=[1]Legend!$A$67,[1]Legend!$B$67,IF(J64=[1]Legend!$A$68, [1]Legend!$B$68, IF(J64=[1]Legend!$A$69, [1]Legend!$B$69, IF(J64=[1]Legend!$A$70, [1]Legend!$B$70, IF(J64=[1]Legend!$A$71, [1]Legend!$B$71, IF(J64=[1]Legend!$A$72, [1]Legend!$B$72, (IF(J64=[1]Legend!$A$73, [1]Legend!$B$73, IF(J64=[1]Legend!$A$74, [1]Legend!$B$74, "")))))))))))</f>
        <v>3</v>
      </c>
      <c r="L64" s="5">
        <v>3</v>
      </c>
      <c r="M64" s="5"/>
      <c r="N64" s="5"/>
      <c r="O64" s="5"/>
    </row>
    <row r="65" spans="1:15" ht="14" customHeight="1" x14ac:dyDescent="0.45">
      <c r="A65" s="7">
        <v>45561</v>
      </c>
      <c r="B65" s="5" t="s">
        <v>24</v>
      </c>
      <c r="C65" s="5" t="s">
        <v>25</v>
      </c>
      <c r="D65" s="5">
        <v>2</v>
      </c>
      <c r="E65" s="5">
        <v>6</v>
      </c>
      <c r="F65" s="5">
        <v>2</v>
      </c>
      <c r="G65" s="7">
        <v>45573</v>
      </c>
      <c r="H65" s="5" t="s">
        <v>17</v>
      </c>
      <c r="I65" s="5">
        <v>4</v>
      </c>
      <c r="J65" s="5" t="s">
        <v>28</v>
      </c>
      <c r="K65" s="6">
        <f>IF(J65=[1]Legend!$A$66,[1]Legend!$B$66,(IF(J65=[1]Legend!$A$67,[1]Legend!$B$67,IF(J65=[1]Legend!$A$68, [1]Legend!$B$68, IF(J65=[1]Legend!$A$69, [1]Legend!$B$69, IF(J65=[1]Legend!$A$70, [1]Legend!$B$70, IF(J65=[1]Legend!$A$71, [1]Legend!$B$71, IF(J65=[1]Legend!$A$72, [1]Legend!$B$72, (IF(J65=[1]Legend!$A$73, [1]Legend!$B$73, IF(J65=[1]Legend!$A$74, [1]Legend!$B$74, "")))))))))))</f>
        <v>120</v>
      </c>
      <c r="L65" s="5">
        <v>120</v>
      </c>
      <c r="M65" s="5"/>
      <c r="N65" s="5"/>
      <c r="O65" s="5"/>
    </row>
    <row r="66" spans="1:15" ht="14" customHeight="1" x14ac:dyDescent="0.45">
      <c r="A66" s="7">
        <v>45561</v>
      </c>
      <c r="B66" s="5" t="s">
        <v>24</v>
      </c>
      <c r="C66" s="5" t="s">
        <v>25</v>
      </c>
      <c r="D66" s="5">
        <v>2</v>
      </c>
      <c r="E66" s="5">
        <v>7</v>
      </c>
      <c r="F66" s="5">
        <v>1</v>
      </c>
      <c r="G66" s="7">
        <v>45573</v>
      </c>
      <c r="H66" s="5" t="s">
        <v>17</v>
      </c>
      <c r="I66" s="5">
        <v>4</v>
      </c>
      <c r="J66" s="5" t="s">
        <v>26</v>
      </c>
      <c r="K66" s="6">
        <f>IF(J66=[1]Legend!$A$66,[1]Legend!$B$66,(IF(J66=[1]Legend!$A$67,[1]Legend!$B$67,IF(J66=[1]Legend!$A$68, [1]Legend!$B$68, IF(J66=[1]Legend!$A$69, [1]Legend!$B$69, IF(J66=[1]Legend!$A$70, [1]Legend!$B$70, IF(J66=[1]Legend!$A$71, [1]Legend!$B$71, IF(J66=[1]Legend!$A$72, [1]Legend!$B$72, (IF(J66=[1]Legend!$A$73, [1]Legend!$B$73, IF(J66=[1]Legend!$A$74, [1]Legend!$B$74, "")))))))))))</f>
        <v>3</v>
      </c>
      <c r="L66" s="5">
        <v>3</v>
      </c>
      <c r="M66" s="5"/>
      <c r="N66" s="5"/>
      <c r="O66" s="5" t="s">
        <v>34</v>
      </c>
    </row>
    <row r="67" spans="1:15" ht="14" customHeight="1" x14ac:dyDescent="0.45">
      <c r="A67" s="7">
        <v>45561</v>
      </c>
      <c r="B67" s="5" t="s">
        <v>24</v>
      </c>
      <c r="C67" s="5" t="s">
        <v>25</v>
      </c>
      <c r="D67" s="5">
        <v>2</v>
      </c>
      <c r="E67" s="5">
        <v>7</v>
      </c>
      <c r="F67" s="5">
        <v>1</v>
      </c>
      <c r="G67" s="7">
        <v>45573</v>
      </c>
      <c r="H67" s="5" t="s">
        <v>17</v>
      </c>
      <c r="I67" s="5">
        <v>4</v>
      </c>
      <c r="J67" s="5" t="s">
        <v>28</v>
      </c>
      <c r="K67" s="6">
        <f>IF(J67=[1]Legend!$A$66,[1]Legend!$B$66,(IF(J67=[1]Legend!$A$67,[1]Legend!$B$67,IF(J67=[1]Legend!$A$68, [1]Legend!$B$68, IF(J67=[1]Legend!$A$69, [1]Legend!$B$69, IF(J67=[1]Legend!$A$70, [1]Legend!$B$70, IF(J67=[1]Legend!$A$71, [1]Legend!$B$71, IF(J67=[1]Legend!$A$72, [1]Legend!$B$72, (IF(J67=[1]Legend!$A$73, [1]Legend!$B$73, IF(J67=[1]Legend!$A$74, [1]Legend!$B$74, "")))))))))))</f>
        <v>120</v>
      </c>
      <c r="L67" s="5">
        <v>119</v>
      </c>
      <c r="M67" s="5">
        <v>3</v>
      </c>
      <c r="N67" s="5" t="s">
        <v>21</v>
      </c>
      <c r="O67" s="5"/>
    </row>
    <row r="68" spans="1:15" ht="14" customHeight="1" x14ac:dyDescent="0.45">
      <c r="A68" s="7">
        <v>45561</v>
      </c>
      <c r="B68" s="5" t="s">
        <v>24</v>
      </c>
      <c r="C68" s="5" t="s">
        <v>25</v>
      </c>
      <c r="D68" s="5">
        <v>2</v>
      </c>
      <c r="E68" s="5">
        <v>7</v>
      </c>
      <c r="F68" s="5">
        <v>2</v>
      </c>
      <c r="G68" s="7">
        <v>45573</v>
      </c>
      <c r="H68" s="5" t="s">
        <v>17</v>
      </c>
      <c r="I68" s="5">
        <v>4</v>
      </c>
      <c r="J68" s="5" t="s">
        <v>26</v>
      </c>
      <c r="K68" s="6">
        <f>IF(J68=[1]Legend!$A$66,[1]Legend!$B$66,(IF(J68=[1]Legend!$A$67,[1]Legend!$B$67,IF(J68=[1]Legend!$A$68, [1]Legend!$B$68, IF(J68=[1]Legend!$A$69, [1]Legend!$B$69, IF(J68=[1]Legend!$A$70, [1]Legend!$B$70, IF(J68=[1]Legend!$A$71, [1]Legend!$B$71, IF(J68=[1]Legend!$A$72, [1]Legend!$B$72, (IF(J68=[1]Legend!$A$73, [1]Legend!$B$73, IF(J68=[1]Legend!$A$74, [1]Legend!$B$74, "")))))))))))</f>
        <v>3</v>
      </c>
      <c r="L68" s="5">
        <v>3</v>
      </c>
      <c r="M68" s="5"/>
      <c r="N68" s="5"/>
      <c r="O68" s="5" t="s">
        <v>35</v>
      </c>
    </row>
    <row r="69" spans="1:15" ht="14" customHeight="1" x14ac:dyDescent="0.45">
      <c r="A69" s="7">
        <v>45561</v>
      </c>
      <c r="B69" s="5" t="s">
        <v>24</v>
      </c>
      <c r="C69" s="5" t="s">
        <v>25</v>
      </c>
      <c r="D69" s="5">
        <v>2</v>
      </c>
      <c r="E69" s="5">
        <v>7</v>
      </c>
      <c r="F69" s="5">
        <v>2</v>
      </c>
      <c r="G69" s="7">
        <v>45573</v>
      </c>
      <c r="H69" s="5" t="s">
        <v>17</v>
      </c>
      <c r="I69" s="5">
        <v>4</v>
      </c>
      <c r="J69" s="5" t="s">
        <v>28</v>
      </c>
      <c r="K69" s="6">
        <f>IF(J69=[1]Legend!$A$66,[1]Legend!$B$66,(IF(J69=[1]Legend!$A$67,[1]Legend!$B$67,IF(J69=[1]Legend!$A$68, [1]Legend!$B$68, IF(J69=[1]Legend!$A$69, [1]Legend!$B$69, IF(J69=[1]Legend!$A$70, [1]Legend!$B$70, IF(J69=[1]Legend!$A$71, [1]Legend!$B$71, IF(J69=[1]Legend!$A$72, [1]Legend!$B$72, (IF(J69=[1]Legend!$A$73, [1]Legend!$B$73, IF(J69=[1]Legend!$A$74, [1]Legend!$B$74, "")))))))))))</f>
        <v>120</v>
      </c>
      <c r="L69" s="5">
        <v>120</v>
      </c>
      <c r="M69" s="5">
        <v>2</v>
      </c>
      <c r="N69" s="5" t="s">
        <v>30</v>
      </c>
      <c r="O69" s="5"/>
    </row>
    <row r="70" spans="1:15" ht="14" customHeight="1" x14ac:dyDescent="0.45">
      <c r="A70" s="7">
        <v>45561</v>
      </c>
      <c r="B70" s="16" t="s">
        <v>24</v>
      </c>
      <c r="C70" s="16" t="s">
        <v>132</v>
      </c>
      <c r="D70" s="16">
        <v>2</v>
      </c>
      <c r="E70" s="16">
        <v>8</v>
      </c>
      <c r="F70" s="16">
        <v>1</v>
      </c>
      <c r="G70" s="18">
        <v>45698</v>
      </c>
      <c r="H70" s="16" t="s">
        <v>91</v>
      </c>
      <c r="I70" s="16">
        <v>4</v>
      </c>
      <c r="J70" s="16" t="s">
        <v>26</v>
      </c>
      <c r="K70" s="6">
        <f>IF(J70=[10]Legend!$A$67,[10]Legend!$B$67,(IF(J70=[10]Legend!$A$68,[10]Legend!$B$68,IF(J70=[10]Legend!$A$69, [10]Legend!$B$69, IF(J70=[10]Legend!$A$70, [10]Legend!$B$70, IF(J70=[10]Legend!$A$71, [10]Legend!$B$71, IF(J70=[10]Legend!$A$72, [10]Legend!$B$72, IF(J70=[10]Legend!$A$73, [10]Legend!$B$73, (IF(J70=[10]Legend!$A$74, [10]Legend!$B$74, IF(J70=[10]Legend!$A$75, [10]Legend!$B$75, "")))))))))))</f>
        <v>3</v>
      </c>
      <c r="L70" s="5">
        <v>3</v>
      </c>
      <c r="M70" s="5">
        <v>0</v>
      </c>
      <c r="N70" s="5"/>
      <c r="O70" s="5" t="s">
        <v>141</v>
      </c>
    </row>
    <row r="71" spans="1:15" ht="14" customHeight="1" x14ac:dyDescent="0.45">
      <c r="A71" s="27">
        <v>45561</v>
      </c>
      <c r="B71" s="28" t="s">
        <v>24</v>
      </c>
      <c r="C71" s="28" t="s">
        <v>132</v>
      </c>
      <c r="D71" s="28">
        <v>2</v>
      </c>
      <c r="E71" s="28">
        <v>8</v>
      </c>
      <c r="F71" s="28">
        <v>1</v>
      </c>
      <c r="G71" s="29">
        <v>45698</v>
      </c>
      <c r="H71" s="28" t="s">
        <v>91</v>
      </c>
      <c r="I71" s="28">
        <v>4</v>
      </c>
      <c r="J71" s="28" t="s">
        <v>28</v>
      </c>
      <c r="K71" s="6">
        <f>IF(J71=[10]Legend!$A$67,[10]Legend!$B$67,(IF(J71=[10]Legend!$A$68,[10]Legend!$B$68,IF(J71=[10]Legend!$A$69, [10]Legend!$B$69, IF(J71=[10]Legend!$A$70, [10]Legend!$B$70, IF(J71=[10]Legend!$A$71, [10]Legend!$B$71, IF(J71=[10]Legend!$A$72, [10]Legend!$B$72, IF(J71=[10]Legend!$A$73, [10]Legend!$B$73, (IF(J71=[10]Legend!$A$74, [10]Legend!$B$74, IF(J71=[10]Legend!$A$75, [10]Legend!$B$75, "")))))))))))</f>
        <v>120</v>
      </c>
      <c r="L71" s="5">
        <v>119</v>
      </c>
      <c r="M71" s="5">
        <v>6</v>
      </c>
      <c r="N71" s="5" t="s">
        <v>23</v>
      </c>
      <c r="O71" s="5" t="s">
        <v>141</v>
      </c>
    </row>
    <row r="72" spans="1:15" ht="14" customHeight="1" x14ac:dyDescent="0.45">
      <c r="A72" s="8">
        <v>45561</v>
      </c>
      <c r="B72" s="9" t="s">
        <v>24</v>
      </c>
      <c r="C72" s="9" t="s">
        <v>132</v>
      </c>
      <c r="D72" s="9">
        <v>2</v>
      </c>
      <c r="E72" s="9">
        <v>8</v>
      </c>
      <c r="F72" s="9">
        <v>2</v>
      </c>
      <c r="G72" s="10">
        <v>45699</v>
      </c>
      <c r="H72" s="9" t="s">
        <v>91</v>
      </c>
      <c r="I72" s="9">
        <v>4</v>
      </c>
      <c r="J72" s="9" t="s">
        <v>26</v>
      </c>
      <c r="K72" s="6">
        <f>IF(J72=[10]Legend!$A$67,[10]Legend!$B$67,(IF(J72=[10]Legend!$A$68,[10]Legend!$B$68,IF(J72=[10]Legend!$A$69, [10]Legend!$B$69, IF(J72=[10]Legend!$A$70, [10]Legend!$B$70, IF(J72=[10]Legend!$A$71, [10]Legend!$B$71, IF(J72=[10]Legend!$A$72, [10]Legend!$B$72, IF(J72=[10]Legend!$A$73, [10]Legend!$B$73, (IF(J72=[10]Legend!$A$74, [10]Legend!$B$74, IF(J72=[10]Legend!$A$75, [10]Legend!$B$75, "")))))))))))</f>
        <v>3</v>
      </c>
      <c r="L72" s="5">
        <v>3</v>
      </c>
      <c r="M72" s="5">
        <v>1</v>
      </c>
      <c r="N72" s="5" t="s">
        <v>21</v>
      </c>
      <c r="O72" s="5"/>
    </row>
    <row r="73" spans="1:15" ht="14" customHeight="1" x14ac:dyDescent="0.45">
      <c r="A73" s="11">
        <v>45561</v>
      </c>
      <c r="B73" s="12" t="s">
        <v>24</v>
      </c>
      <c r="C73" s="12" t="s">
        <v>132</v>
      </c>
      <c r="D73" s="12">
        <v>2</v>
      </c>
      <c r="E73" s="12">
        <v>8</v>
      </c>
      <c r="F73" s="12">
        <v>2</v>
      </c>
      <c r="G73" s="13">
        <v>45699</v>
      </c>
      <c r="H73" s="12" t="s">
        <v>91</v>
      </c>
      <c r="I73" s="12">
        <v>4</v>
      </c>
      <c r="J73" s="12" t="s">
        <v>28</v>
      </c>
      <c r="K73" s="6">
        <f>IF(J73=[10]Legend!$A$67,[10]Legend!$B$67,(IF(J73=[10]Legend!$A$68,[10]Legend!$B$68,IF(J73=[10]Legend!$A$69, [10]Legend!$B$69, IF(J73=[10]Legend!$A$70, [10]Legend!$B$70, IF(J73=[10]Legend!$A$71, [10]Legend!$B$71, IF(J73=[10]Legend!$A$72, [10]Legend!$B$72, IF(J73=[10]Legend!$A$73, [10]Legend!$B$73, (IF(J73=[10]Legend!$A$74, [10]Legend!$B$74, IF(J73=[10]Legend!$A$75, [10]Legend!$B$75, "")))))))))))</f>
        <v>120</v>
      </c>
      <c r="L73" s="5">
        <v>119</v>
      </c>
      <c r="M73" s="5">
        <v>2</v>
      </c>
      <c r="N73" s="5" t="s">
        <v>23</v>
      </c>
      <c r="O73" s="5"/>
    </row>
    <row r="74" spans="1:15" ht="14" customHeight="1" x14ac:dyDescent="0.45">
      <c r="A74" s="7">
        <v>45561</v>
      </c>
      <c r="B74" s="5" t="s">
        <v>24</v>
      </c>
      <c r="C74" s="5" t="s">
        <v>132</v>
      </c>
      <c r="D74" s="5">
        <v>2</v>
      </c>
      <c r="E74" s="5">
        <v>9</v>
      </c>
      <c r="F74" s="5">
        <v>1</v>
      </c>
      <c r="G74" s="7">
        <v>45698</v>
      </c>
      <c r="H74" s="5" t="s">
        <v>91</v>
      </c>
      <c r="I74" s="5">
        <v>4</v>
      </c>
      <c r="J74" s="5" t="s">
        <v>26</v>
      </c>
      <c r="K74" s="6">
        <f>IF(J74=[10]Legend!$A$67,[10]Legend!$B$67,(IF(J74=[10]Legend!$A$68,[10]Legend!$B$68,IF(J74=[10]Legend!$A$69, [10]Legend!$B$69, IF(J74=[10]Legend!$A$70, [10]Legend!$B$70, IF(J74=[10]Legend!$A$71, [10]Legend!$B$71, IF(J74=[10]Legend!$A$72, [10]Legend!$B$72, IF(J74=[10]Legend!$A$73, [10]Legend!$B$73, (IF(J74=[10]Legend!$A$74, [10]Legend!$B$74, IF(J74=[10]Legend!$A$75, [10]Legend!$B$75, "")))))))))))</f>
        <v>3</v>
      </c>
      <c r="L74" s="5">
        <v>3</v>
      </c>
      <c r="M74" s="5">
        <v>0</v>
      </c>
      <c r="N74" s="5"/>
      <c r="O74" s="5"/>
    </row>
    <row r="75" spans="1:15" ht="14" customHeight="1" x14ac:dyDescent="0.45">
      <c r="A75" s="7">
        <v>45561</v>
      </c>
      <c r="B75" s="5" t="s">
        <v>24</v>
      </c>
      <c r="C75" s="5" t="s">
        <v>132</v>
      </c>
      <c r="D75" s="5">
        <v>2</v>
      </c>
      <c r="E75" s="5">
        <v>9</v>
      </c>
      <c r="F75" s="5">
        <v>1</v>
      </c>
      <c r="G75" s="7">
        <v>45698</v>
      </c>
      <c r="H75" s="5" t="s">
        <v>91</v>
      </c>
      <c r="I75" s="5">
        <v>4</v>
      </c>
      <c r="J75" s="5" t="s">
        <v>28</v>
      </c>
      <c r="K75" s="6">
        <f>IF(J75=[10]Legend!$A$67,[10]Legend!$B$67,(IF(J75=[10]Legend!$A$68,[10]Legend!$B$68,IF(J75=[10]Legend!$A$69, [10]Legend!$B$69, IF(J75=[10]Legend!$A$70, [10]Legend!$B$70, IF(J75=[10]Legend!$A$71, [10]Legend!$B$71, IF(J75=[10]Legend!$A$72, [10]Legend!$B$72, IF(J75=[10]Legend!$A$73, [10]Legend!$B$73, (IF(J75=[10]Legend!$A$74, [10]Legend!$B$74, IF(J75=[10]Legend!$A$75, [10]Legend!$B$75, "")))))))))))</f>
        <v>120</v>
      </c>
      <c r="L75" s="5">
        <v>118</v>
      </c>
      <c r="M75" s="5">
        <v>1</v>
      </c>
      <c r="N75" s="5" t="s">
        <v>30</v>
      </c>
      <c r="O75" s="5"/>
    </row>
    <row r="76" spans="1:15" ht="14" customHeight="1" x14ac:dyDescent="0.45">
      <c r="A76" s="8">
        <v>45561</v>
      </c>
      <c r="B76" s="15" t="s">
        <v>24</v>
      </c>
      <c r="C76" s="15" t="s">
        <v>132</v>
      </c>
      <c r="D76" s="15">
        <v>2</v>
      </c>
      <c r="E76" s="15">
        <v>9</v>
      </c>
      <c r="F76" s="15">
        <v>2</v>
      </c>
      <c r="G76" s="8">
        <v>45699</v>
      </c>
      <c r="H76" s="15" t="s">
        <v>91</v>
      </c>
      <c r="I76" s="15">
        <v>4</v>
      </c>
      <c r="J76" s="15" t="s">
        <v>26</v>
      </c>
      <c r="K76" s="6">
        <f>IF(J76=[10]Legend!$A$67,[10]Legend!$B$67,(IF(J76=[10]Legend!$A$68,[10]Legend!$B$68,IF(J76=[10]Legend!$A$69, [10]Legend!$B$69, IF(J76=[10]Legend!$A$70, [10]Legend!$B$70, IF(J76=[10]Legend!$A$71, [10]Legend!$B$71, IF(J76=[10]Legend!$A$72, [10]Legend!$B$72, IF(J76=[10]Legend!$A$73, [10]Legend!$B$73, (IF(J76=[10]Legend!$A$74, [10]Legend!$B$74, IF(J76=[10]Legend!$A$75, [10]Legend!$B$75, "")))))))))))</f>
        <v>3</v>
      </c>
      <c r="L76" s="5">
        <v>3</v>
      </c>
      <c r="M76" s="5">
        <v>1</v>
      </c>
      <c r="N76" s="5" t="s">
        <v>21</v>
      </c>
      <c r="O76" s="5"/>
    </row>
    <row r="77" spans="1:15" ht="14" customHeight="1" x14ac:dyDescent="0.45">
      <c r="A77" s="8">
        <v>45561</v>
      </c>
      <c r="B77" s="15" t="s">
        <v>24</v>
      </c>
      <c r="C77" s="15" t="s">
        <v>132</v>
      </c>
      <c r="D77" s="15">
        <v>2</v>
      </c>
      <c r="E77" s="15">
        <v>9</v>
      </c>
      <c r="F77" s="15">
        <v>2</v>
      </c>
      <c r="G77" s="8">
        <v>45699</v>
      </c>
      <c r="H77" s="15" t="s">
        <v>91</v>
      </c>
      <c r="I77" s="15">
        <v>4</v>
      </c>
      <c r="J77" s="15" t="s">
        <v>28</v>
      </c>
      <c r="K77" s="6">
        <f>IF(J77=[10]Legend!$A$67,[10]Legend!$B$67,(IF(J77=[10]Legend!$A$68,[10]Legend!$B$68,IF(J77=[10]Legend!$A$69, [10]Legend!$B$69, IF(J77=[10]Legend!$A$70, [10]Legend!$B$70, IF(J77=[10]Legend!$A$71, [10]Legend!$B$71, IF(J77=[10]Legend!$A$72, [10]Legend!$B$72, IF(J77=[10]Legend!$A$73, [10]Legend!$B$73, (IF(J77=[10]Legend!$A$74, [10]Legend!$B$74, IF(J77=[10]Legend!$A$75, [10]Legend!$B$75, "")))))))))))</f>
        <v>120</v>
      </c>
      <c r="L77" s="5">
        <v>119</v>
      </c>
      <c r="M77" s="5">
        <v>1</v>
      </c>
      <c r="N77" s="5" t="s">
        <v>30</v>
      </c>
      <c r="O77" s="5"/>
    </row>
    <row r="78" spans="1:15" ht="14" customHeight="1" x14ac:dyDescent="0.45">
      <c r="A78" s="8">
        <v>45561</v>
      </c>
      <c r="B78" s="15" t="s">
        <v>24</v>
      </c>
      <c r="C78" s="15" t="s">
        <v>132</v>
      </c>
      <c r="D78" s="15">
        <v>2</v>
      </c>
      <c r="E78" s="15">
        <v>10</v>
      </c>
      <c r="F78" s="15">
        <v>2</v>
      </c>
      <c r="G78" s="8">
        <v>45699</v>
      </c>
      <c r="H78" s="15" t="s">
        <v>91</v>
      </c>
      <c r="I78" s="15">
        <v>4</v>
      </c>
      <c r="J78" s="15" t="s">
        <v>26</v>
      </c>
      <c r="K78" s="6">
        <f>IF(J78=[10]Legend!$A$67,[10]Legend!$B$67,(IF(J78=[10]Legend!$A$68,[10]Legend!$B$68,IF(J78=[10]Legend!$A$69, [10]Legend!$B$69, IF(J78=[10]Legend!$A$70, [10]Legend!$B$70, IF(J78=[10]Legend!$A$71, [10]Legend!$B$71, IF(J78=[10]Legend!$A$72, [10]Legend!$B$72, IF(J78=[10]Legend!$A$73, [10]Legend!$B$73, (IF(J78=[10]Legend!$A$74, [10]Legend!$B$74, IF(J78=[10]Legend!$A$75, [10]Legend!$B$75, "")))))))))))</f>
        <v>3</v>
      </c>
      <c r="L78" s="5">
        <v>3</v>
      </c>
      <c r="M78" s="5">
        <v>0</v>
      </c>
      <c r="N78" s="5"/>
      <c r="O78" s="5"/>
    </row>
    <row r="79" spans="1:15" ht="14" customHeight="1" x14ac:dyDescent="0.45">
      <c r="A79" s="8">
        <v>45561</v>
      </c>
      <c r="B79" s="15" t="s">
        <v>24</v>
      </c>
      <c r="C79" s="15" t="s">
        <v>132</v>
      </c>
      <c r="D79" s="15">
        <v>2</v>
      </c>
      <c r="E79" s="15">
        <v>10</v>
      </c>
      <c r="F79" s="15">
        <v>2</v>
      </c>
      <c r="G79" s="8">
        <v>45699</v>
      </c>
      <c r="H79" s="15" t="s">
        <v>91</v>
      </c>
      <c r="I79" s="15">
        <v>4</v>
      </c>
      <c r="J79" s="15" t="s">
        <v>28</v>
      </c>
      <c r="K79" s="6">
        <f>IF(J79=[10]Legend!$A$67,[10]Legend!$B$67,(IF(J79=[10]Legend!$A$68,[10]Legend!$B$68,IF(J79=[10]Legend!$A$69, [10]Legend!$B$69, IF(J79=[10]Legend!$A$70, [10]Legend!$B$70, IF(J79=[10]Legend!$A$71, [10]Legend!$B$71, IF(J79=[10]Legend!$A$72, [10]Legend!$B$72, IF(J79=[10]Legend!$A$73, [10]Legend!$B$73, (IF(J79=[10]Legend!$A$74, [10]Legend!$B$74, IF(J79=[10]Legend!$A$75, [10]Legend!$B$75, "")))))))))))</f>
        <v>120</v>
      </c>
      <c r="L79" s="5">
        <v>120</v>
      </c>
      <c r="M79" s="5">
        <v>4</v>
      </c>
      <c r="N79" s="5" t="s">
        <v>30</v>
      </c>
      <c r="O79" s="5"/>
    </row>
    <row r="80" spans="1:15" ht="14" customHeight="1" x14ac:dyDescent="0.45">
      <c r="A80" s="8">
        <v>45561</v>
      </c>
      <c r="B80" s="15" t="s">
        <v>24</v>
      </c>
      <c r="C80" s="15" t="s">
        <v>132</v>
      </c>
      <c r="D80" s="15">
        <v>2</v>
      </c>
      <c r="E80" s="15">
        <v>10</v>
      </c>
      <c r="F80" s="15">
        <v>1</v>
      </c>
      <c r="G80" s="8">
        <v>45699</v>
      </c>
      <c r="H80" s="15" t="s">
        <v>91</v>
      </c>
      <c r="I80" s="15">
        <v>4</v>
      </c>
      <c r="J80" s="15" t="s">
        <v>26</v>
      </c>
      <c r="K80" s="6">
        <f>IF(J80=[10]Legend!$A$67,[10]Legend!$B$67,(IF(J80=[10]Legend!$A$68,[10]Legend!$B$68,IF(J80=[10]Legend!$A$69, [10]Legend!$B$69, IF(J80=[10]Legend!$A$70, [10]Legend!$B$70, IF(J80=[10]Legend!$A$71, [10]Legend!$B$71, IF(J80=[10]Legend!$A$72, [10]Legend!$B$72, IF(J80=[10]Legend!$A$73, [10]Legend!$B$73, (IF(J80=[10]Legend!$A$74, [10]Legend!$B$74, IF(J80=[10]Legend!$A$75, [10]Legend!$B$75, "")))))))))))</f>
        <v>3</v>
      </c>
      <c r="L80" s="5">
        <v>3</v>
      </c>
      <c r="M80" s="5">
        <v>0</v>
      </c>
      <c r="N80" s="5"/>
      <c r="O80" s="5" t="s">
        <v>139</v>
      </c>
    </row>
    <row r="81" spans="1:15" ht="14" customHeight="1" x14ac:dyDescent="0.45">
      <c r="A81" s="8">
        <v>45561</v>
      </c>
      <c r="B81" s="15" t="s">
        <v>24</v>
      </c>
      <c r="C81" s="15" t="s">
        <v>132</v>
      </c>
      <c r="D81" s="15">
        <v>2</v>
      </c>
      <c r="E81" s="15">
        <v>10</v>
      </c>
      <c r="F81" s="15">
        <v>1</v>
      </c>
      <c r="G81" s="8">
        <v>45699</v>
      </c>
      <c r="H81" s="15" t="s">
        <v>91</v>
      </c>
      <c r="I81" s="15">
        <v>4</v>
      </c>
      <c r="J81" s="15" t="s">
        <v>28</v>
      </c>
      <c r="K81" s="6">
        <f>IF(J81=[10]Legend!$A$67,[10]Legend!$B$67,(IF(J81=[10]Legend!$A$68,[10]Legend!$B$68,IF(J81=[10]Legend!$A$69, [10]Legend!$B$69, IF(J81=[10]Legend!$A$70, [10]Legend!$B$70, IF(J81=[10]Legend!$A$71, [10]Legend!$B$71, IF(J81=[10]Legend!$A$72, [10]Legend!$B$72, IF(J81=[10]Legend!$A$73, [10]Legend!$B$73, (IF(J81=[10]Legend!$A$74, [10]Legend!$B$74, IF(J81=[10]Legend!$A$75, [10]Legend!$B$75, "")))))))))))</f>
        <v>120</v>
      </c>
      <c r="L81" s="5">
        <v>120</v>
      </c>
      <c r="M81" s="5">
        <v>0</v>
      </c>
      <c r="N81" s="5"/>
      <c r="O81" s="5" t="s">
        <v>139</v>
      </c>
    </row>
    <row r="82" spans="1:15" ht="14" customHeight="1" x14ac:dyDescent="0.45">
      <c r="A82" s="7">
        <v>45568</v>
      </c>
      <c r="B82" s="5" t="s">
        <v>24</v>
      </c>
      <c r="C82" s="5" t="s">
        <v>93</v>
      </c>
      <c r="D82" s="5">
        <v>3</v>
      </c>
      <c r="E82" s="5">
        <v>1</v>
      </c>
      <c r="F82" s="5">
        <v>2</v>
      </c>
      <c r="G82" s="7">
        <v>45712</v>
      </c>
      <c r="H82" s="5" t="s">
        <v>91</v>
      </c>
      <c r="I82" s="5">
        <v>4</v>
      </c>
      <c r="J82" s="5" t="s">
        <v>26</v>
      </c>
      <c r="K82" s="6">
        <f>IF(J82=[3]Legend!$A$67,[3]Legend!$B$67,(IF(J82=[3]Legend!$A$68,[3]Legend!$B$68,IF(J82=[3]Legend!$A$69, [3]Legend!$B$69, IF(J82=[3]Legend!$A$70, [3]Legend!$B$70, IF(J82=[3]Legend!$A$71, [3]Legend!$B$71, IF(J82=[3]Legend!$A$72, [3]Legend!$B$72, IF(J82=[3]Legend!$A$73, [3]Legend!$B$73, (IF(J82=[3]Legend!$A$74, [3]Legend!$B$74, IF(J82=[3]Legend!$A$75, [3]Legend!$B$75, "")))))))))))</f>
        <v>3</v>
      </c>
      <c r="L82" s="5">
        <v>3</v>
      </c>
      <c r="M82" s="5">
        <v>0</v>
      </c>
      <c r="N82" s="5"/>
      <c r="O82" s="5"/>
    </row>
    <row r="83" spans="1:15" ht="14" customHeight="1" x14ac:dyDescent="0.45">
      <c r="A83" s="7">
        <v>45568</v>
      </c>
      <c r="B83" s="5" t="s">
        <v>24</v>
      </c>
      <c r="C83" s="5" t="s">
        <v>93</v>
      </c>
      <c r="D83" s="5">
        <v>3</v>
      </c>
      <c r="E83" s="5">
        <v>1</v>
      </c>
      <c r="F83" s="5">
        <v>2</v>
      </c>
      <c r="G83" s="7">
        <v>45712</v>
      </c>
      <c r="H83" s="5" t="s">
        <v>91</v>
      </c>
      <c r="I83" s="5">
        <v>4</v>
      </c>
      <c r="J83" s="5" t="s">
        <v>28</v>
      </c>
      <c r="K83" s="6">
        <f>IF(J83=[3]Legend!$A$67,[3]Legend!$B$67,(IF(J83=[3]Legend!$A$68,[3]Legend!$B$68,IF(J83=[3]Legend!$A$69, [3]Legend!$B$69, IF(J83=[3]Legend!$A$70, [3]Legend!$B$70, IF(J83=[3]Legend!$A$71, [3]Legend!$B$71, IF(J83=[3]Legend!$A$72, [3]Legend!$B$72, IF(J83=[3]Legend!$A$73, [3]Legend!$B$73, (IF(J83=[3]Legend!$A$74, [3]Legend!$B$74, IF(J83=[3]Legend!$A$75, [3]Legend!$B$75, "")))))))))))</f>
        <v>120</v>
      </c>
      <c r="L83" s="5">
        <v>117</v>
      </c>
      <c r="M83" s="5">
        <v>1</v>
      </c>
      <c r="N83" s="5" t="s">
        <v>30</v>
      </c>
      <c r="O83" s="5"/>
    </row>
    <row r="84" spans="1:15" ht="14" customHeight="1" x14ac:dyDescent="0.45">
      <c r="A84" s="7">
        <v>45568</v>
      </c>
      <c r="B84" s="5" t="s">
        <v>24</v>
      </c>
      <c r="C84" s="5" t="s">
        <v>93</v>
      </c>
      <c r="D84" s="5">
        <v>3</v>
      </c>
      <c r="E84" s="5">
        <v>1</v>
      </c>
      <c r="F84" s="5">
        <v>1</v>
      </c>
      <c r="G84" s="7">
        <v>45713</v>
      </c>
      <c r="H84" s="5" t="s">
        <v>91</v>
      </c>
      <c r="I84" s="5">
        <v>4</v>
      </c>
      <c r="J84" s="5" t="s">
        <v>26</v>
      </c>
      <c r="K84" s="6">
        <f>IF(J84=[3]Legend!$A$67,[3]Legend!$B$67,(IF(J84=[3]Legend!$A$68,[3]Legend!$B$68,IF(J84=[3]Legend!$A$69, [3]Legend!$B$69, IF(J84=[3]Legend!$A$70, [3]Legend!$B$70, IF(J84=[3]Legend!$A$71, [3]Legend!$B$71, IF(J84=[3]Legend!$A$72, [3]Legend!$B$72, IF(J84=[3]Legend!$A$73, [3]Legend!$B$73, (IF(J84=[3]Legend!$A$74, [3]Legend!$B$74, IF(J84=[3]Legend!$A$75, [3]Legend!$B$75, "")))))))))))</f>
        <v>3</v>
      </c>
      <c r="L84" s="5">
        <v>3</v>
      </c>
      <c r="M84" s="5">
        <v>0</v>
      </c>
      <c r="N84" s="5"/>
      <c r="O84" s="5" t="s">
        <v>97</v>
      </c>
    </row>
    <row r="85" spans="1:15" ht="14" customHeight="1" x14ac:dyDescent="0.45">
      <c r="A85" s="7">
        <v>45568</v>
      </c>
      <c r="B85" s="5" t="s">
        <v>24</v>
      </c>
      <c r="C85" s="5" t="s">
        <v>93</v>
      </c>
      <c r="D85" s="5">
        <v>3</v>
      </c>
      <c r="E85" s="5">
        <v>1</v>
      </c>
      <c r="F85" s="5">
        <v>1</v>
      </c>
      <c r="G85" s="7">
        <v>45713</v>
      </c>
      <c r="H85" s="5" t="s">
        <v>91</v>
      </c>
      <c r="I85" s="5">
        <v>4</v>
      </c>
      <c r="J85" s="5" t="s">
        <v>28</v>
      </c>
      <c r="K85" s="6">
        <f>IF(J85=[3]Legend!$A$67,[3]Legend!$B$67,(IF(J85=[3]Legend!$A$68,[3]Legend!$B$68,IF(J85=[3]Legend!$A$69, [3]Legend!$B$69, IF(J85=[3]Legend!$A$70, [3]Legend!$B$70, IF(J85=[3]Legend!$A$71, [3]Legend!$B$71, IF(J85=[3]Legend!$A$72, [3]Legend!$B$72, IF(J85=[3]Legend!$A$73, [3]Legend!$B$73, (IF(J85=[3]Legend!$A$74, [3]Legend!$B$74, IF(J85=[3]Legend!$A$75, [3]Legend!$B$75, "")))))))))))</f>
        <v>120</v>
      </c>
      <c r="L85" s="5">
        <v>121</v>
      </c>
      <c r="M85" s="5">
        <v>2</v>
      </c>
      <c r="N85" s="5" t="s">
        <v>23</v>
      </c>
      <c r="O85" s="5" t="s">
        <v>97</v>
      </c>
    </row>
    <row r="86" spans="1:15" ht="14" customHeight="1" x14ac:dyDescent="0.45">
      <c r="A86" s="7">
        <v>45568</v>
      </c>
      <c r="B86" s="5" t="s">
        <v>24</v>
      </c>
      <c r="C86" s="5" t="s">
        <v>93</v>
      </c>
      <c r="D86" s="5">
        <v>3</v>
      </c>
      <c r="E86" s="5">
        <v>2</v>
      </c>
      <c r="F86" s="5">
        <v>1</v>
      </c>
      <c r="G86" s="7">
        <v>45713</v>
      </c>
      <c r="H86" s="5" t="s">
        <v>91</v>
      </c>
      <c r="I86" s="5">
        <v>4</v>
      </c>
      <c r="J86" s="5" t="s">
        <v>26</v>
      </c>
      <c r="K86" s="6">
        <f>IF(J86=[3]Legend!$A$67,[3]Legend!$B$67,(IF(J86=[3]Legend!$A$68,[3]Legend!$B$68,IF(J86=[3]Legend!$A$69, [3]Legend!$B$69, IF(J86=[3]Legend!$A$70, [3]Legend!$B$70, IF(J86=[3]Legend!$A$71, [3]Legend!$B$71, IF(J86=[3]Legend!$A$72, [3]Legend!$B$72, IF(J86=[3]Legend!$A$73, [3]Legend!$B$73, (IF(J86=[3]Legend!$A$74, [3]Legend!$B$74, IF(J86=[3]Legend!$A$75, [3]Legend!$B$75, "")))))))))))</f>
        <v>3</v>
      </c>
      <c r="L86" s="5">
        <v>3</v>
      </c>
      <c r="M86" s="5">
        <v>0</v>
      </c>
      <c r="N86" s="5"/>
      <c r="O86" s="5"/>
    </row>
    <row r="87" spans="1:15" ht="14" customHeight="1" x14ac:dyDescent="0.45">
      <c r="A87" s="7">
        <v>45568</v>
      </c>
      <c r="B87" s="5" t="s">
        <v>24</v>
      </c>
      <c r="C87" s="5" t="s">
        <v>93</v>
      </c>
      <c r="D87" s="5">
        <v>3</v>
      </c>
      <c r="E87" s="5">
        <v>2</v>
      </c>
      <c r="F87" s="5">
        <v>1</v>
      </c>
      <c r="G87" s="7">
        <v>45713</v>
      </c>
      <c r="H87" s="5" t="s">
        <v>91</v>
      </c>
      <c r="I87" s="5">
        <v>4</v>
      </c>
      <c r="J87" s="5" t="s">
        <v>28</v>
      </c>
      <c r="K87" s="6">
        <f>IF(J87=[3]Legend!$A$67,[3]Legend!$B$67,(IF(J87=[3]Legend!$A$68,[3]Legend!$B$68,IF(J87=[3]Legend!$A$69, [3]Legend!$B$69, IF(J87=[3]Legend!$A$70, [3]Legend!$B$70, IF(J87=[3]Legend!$A$71, [3]Legend!$B$71, IF(J87=[3]Legend!$A$72, [3]Legend!$B$72, IF(J87=[3]Legend!$A$73, [3]Legend!$B$73, (IF(J87=[3]Legend!$A$74, [3]Legend!$B$74, IF(J87=[3]Legend!$A$75, [3]Legend!$B$75, "")))))))))))</f>
        <v>120</v>
      </c>
      <c r="L87" s="5">
        <v>120</v>
      </c>
      <c r="M87" s="5">
        <v>3</v>
      </c>
      <c r="N87" s="5" t="s">
        <v>30</v>
      </c>
      <c r="O87" s="5"/>
    </row>
    <row r="88" spans="1:15" ht="14" customHeight="1" x14ac:dyDescent="0.45">
      <c r="A88" s="7">
        <v>45568</v>
      </c>
      <c r="B88" s="5" t="s">
        <v>24</v>
      </c>
      <c r="C88" s="5" t="s">
        <v>93</v>
      </c>
      <c r="D88" s="5">
        <v>3</v>
      </c>
      <c r="E88" s="5">
        <v>2</v>
      </c>
      <c r="F88" s="5">
        <v>2</v>
      </c>
      <c r="G88" s="7">
        <v>45713</v>
      </c>
      <c r="H88" s="5" t="s">
        <v>91</v>
      </c>
      <c r="I88" s="5">
        <v>4</v>
      </c>
      <c r="J88" s="5" t="s">
        <v>26</v>
      </c>
      <c r="K88" s="6">
        <f>IF(J88=[3]Legend!$A$67,[3]Legend!$B$67,(IF(J88=[3]Legend!$A$68,[3]Legend!$B$68,IF(J88=[3]Legend!$A$69, [3]Legend!$B$69, IF(J88=[3]Legend!$A$70, [3]Legend!$B$70, IF(J88=[3]Legend!$A$71, [3]Legend!$B$71, IF(J88=[3]Legend!$A$72, [3]Legend!$B$72, IF(J88=[3]Legend!$A$73, [3]Legend!$B$73, (IF(J88=[3]Legend!$A$74, [3]Legend!$B$74, IF(J88=[3]Legend!$A$75, [3]Legend!$B$75, "")))))))))))</f>
        <v>3</v>
      </c>
      <c r="L88" s="5">
        <v>3</v>
      </c>
      <c r="M88" s="5">
        <v>0</v>
      </c>
      <c r="N88" s="5"/>
      <c r="O88" s="5"/>
    </row>
    <row r="89" spans="1:15" ht="14" customHeight="1" x14ac:dyDescent="0.45">
      <c r="A89" s="7">
        <v>45568</v>
      </c>
      <c r="B89" s="5" t="s">
        <v>24</v>
      </c>
      <c r="C89" s="5" t="s">
        <v>93</v>
      </c>
      <c r="D89" s="5">
        <v>3</v>
      </c>
      <c r="E89" s="5">
        <v>2</v>
      </c>
      <c r="F89" s="5">
        <v>2</v>
      </c>
      <c r="G89" s="7">
        <v>45713</v>
      </c>
      <c r="H89" s="5" t="s">
        <v>91</v>
      </c>
      <c r="I89" s="5">
        <v>4</v>
      </c>
      <c r="J89" s="5" t="s">
        <v>28</v>
      </c>
      <c r="K89" s="6">
        <f>IF(J89=[3]Legend!$A$67,[3]Legend!$B$67,(IF(J89=[3]Legend!$A$68,[3]Legend!$B$68,IF(J89=[3]Legend!$A$69, [3]Legend!$B$69, IF(J89=[3]Legend!$A$70, [3]Legend!$B$70, IF(J89=[3]Legend!$A$71, [3]Legend!$B$71, IF(J89=[3]Legend!$A$72, [3]Legend!$B$72, IF(J89=[3]Legend!$A$73, [3]Legend!$B$73, (IF(J89=[3]Legend!$A$74, [3]Legend!$B$74, IF(J89=[3]Legend!$A$75, [3]Legend!$B$75, "")))))))))))</f>
        <v>120</v>
      </c>
      <c r="L89" s="5">
        <v>119</v>
      </c>
      <c r="M89" s="5">
        <v>1</v>
      </c>
      <c r="N89" s="5" t="s">
        <v>30</v>
      </c>
      <c r="O89" s="5"/>
    </row>
    <row r="90" spans="1:15" ht="14" customHeight="1" x14ac:dyDescent="0.45">
      <c r="A90" s="8">
        <v>45568</v>
      </c>
      <c r="B90" s="15" t="s">
        <v>24</v>
      </c>
      <c r="C90" s="15" t="s">
        <v>93</v>
      </c>
      <c r="D90" s="15">
        <v>3</v>
      </c>
      <c r="E90" s="15">
        <v>3</v>
      </c>
      <c r="F90" s="15">
        <v>2</v>
      </c>
      <c r="G90" s="8">
        <v>45712</v>
      </c>
      <c r="H90" s="15" t="s">
        <v>91</v>
      </c>
      <c r="I90" s="15">
        <v>4</v>
      </c>
      <c r="J90" s="15" t="s">
        <v>26</v>
      </c>
      <c r="K90" s="6">
        <f>IF(J90=[3]Legend!$A$67,[3]Legend!$B$67,(IF(J90=[3]Legend!$A$68,[3]Legend!$B$68,IF(J90=[3]Legend!$A$69, [3]Legend!$B$69, IF(J90=[3]Legend!$A$70, [3]Legend!$B$70, IF(J90=[3]Legend!$A$71, [3]Legend!$B$71, IF(J90=[3]Legend!$A$72, [3]Legend!$B$72, IF(J90=[3]Legend!$A$73, [3]Legend!$B$73, (IF(J90=[3]Legend!$A$74, [3]Legend!$B$74, IF(J90=[3]Legend!$A$75, [3]Legend!$B$75, "")))))))))))</f>
        <v>3</v>
      </c>
      <c r="L90" s="5">
        <v>3</v>
      </c>
      <c r="M90" s="5">
        <v>0</v>
      </c>
      <c r="N90" s="5"/>
      <c r="O90" s="5"/>
    </row>
    <row r="91" spans="1:15" ht="14" customHeight="1" x14ac:dyDescent="0.45">
      <c r="A91" s="8">
        <v>45568</v>
      </c>
      <c r="B91" s="15" t="s">
        <v>24</v>
      </c>
      <c r="C91" s="15" t="s">
        <v>93</v>
      </c>
      <c r="D91" s="15">
        <v>3</v>
      </c>
      <c r="E91" s="15">
        <v>3</v>
      </c>
      <c r="F91" s="15">
        <v>2</v>
      </c>
      <c r="G91" s="8">
        <v>45712</v>
      </c>
      <c r="H91" s="15" t="s">
        <v>91</v>
      </c>
      <c r="I91" s="15">
        <v>4</v>
      </c>
      <c r="J91" s="15" t="s">
        <v>28</v>
      </c>
      <c r="K91" s="6">
        <f>IF(J91=[3]Legend!$A$67,[3]Legend!$B$67,(IF(J91=[3]Legend!$A$68,[3]Legend!$B$68,IF(J91=[3]Legend!$A$69, [3]Legend!$B$69, IF(J91=[3]Legend!$A$70, [3]Legend!$B$70, IF(J91=[3]Legend!$A$71, [3]Legend!$B$71, IF(J91=[3]Legend!$A$72, [3]Legend!$B$72, IF(J91=[3]Legend!$A$73, [3]Legend!$B$73, (IF(J91=[3]Legend!$A$74, [3]Legend!$B$74, IF(J91=[3]Legend!$A$75, [3]Legend!$B$75, "")))))))))))</f>
        <v>120</v>
      </c>
      <c r="L91" s="5">
        <v>117</v>
      </c>
      <c r="M91" s="5">
        <v>1</v>
      </c>
      <c r="N91" s="5" t="s">
        <v>30</v>
      </c>
      <c r="O91" s="5" t="s">
        <v>96</v>
      </c>
    </row>
    <row r="92" spans="1:15" ht="14" customHeight="1" x14ac:dyDescent="0.45">
      <c r="A92" s="8">
        <v>45568</v>
      </c>
      <c r="B92" s="15" t="s">
        <v>24</v>
      </c>
      <c r="C92" s="15" t="s">
        <v>93</v>
      </c>
      <c r="D92" s="15">
        <v>3</v>
      </c>
      <c r="E92" s="15">
        <v>3</v>
      </c>
      <c r="F92" s="15">
        <v>1</v>
      </c>
      <c r="G92" s="8">
        <v>45699</v>
      </c>
      <c r="H92" s="15" t="s">
        <v>91</v>
      </c>
      <c r="I92" s="15">
        <v>4</v>
      </c>
      <c r="J92" s="15" t="s">
        <v>26</v>
      </c>
      <c r="K92" s="6">
        <f>IF(J92=[10]Legend!$A$67,[10]Legend!$B$67,(IF(J92=[10]Legend!$A$68,[10]Legend!$B$68,IF(J92=[10]Legend!$A$69, [10]Legend!$B$69, IF(J92=[10]Legend!$A$70, [10]Legend!$B$70, IF(J92=[10]Legend!$A$71, [10]Legend!$B$71, IF(J92=[10]Legend!$A$72, [10]Legend!$B$72, IF(J92=[10]Legend!$A$73, [10]Legend!$B$73, (IF(J92=[10]Legend!$A$74, [10]Legend!$B$74, IF(J92=[10]Legend!$A$75, [10]Legend!$B$75, "")))))))))))</f>
        <v>3</v>
      </c>
      <c r="L92" s="5">
        <v>3</v>
      </c>
      <c r="M92" s="5">
        <v>0</v>
      </c>
      <c r="N92" s="5"/>
      <c r="O92" s="5"/>
    </row>
    <row r="93" spans="1:15" ht="14" customHeight="1" x14ac:dyDescent="0.45">
      <c r="A93" s="8">
        <v>45568</v>
      </c>
      <c r="B93" s="15" t="s">
        <v>24</v>
      </c>
      <c r="C93" s="15" t="s">
        <v>93</v>
      </c>
      <c r="D93" s="15">
        <v>3</v>
      </c>
      <c r="E93" s="15">
        <v>3</v>
      </c>
      <c r="F93" s="15">
        <v>1</v>
      </c>
      <c r="G93" s="8">
        <v>45699</v>
      </c>
      <c r="H93" s="15" t="s">
        <v>91</v>
      </c>
      <c r="I93" s="15">
        <v>4</v>
      </c>
      <c r="J93" s="15" t="s">
        <v>28</v>
      </c>
      <c r="K93" s="6">
        <f>IF(J93=[10]Legend!$A$67,[10]Legend!$B$67,(IF(J93=[10]Legend!$A$68,[10]Legend!$B$68,IF(J93=[10]Legend!$A$69, [10]Legend!$B$69, IF(J93=[10]Legend!$A$70, [10]Legend!$B$70, IF(J93=[10]Legend!$A$71, [10]Legend!$B$71, IF(J93=[10]Legend!$A$72, [10]Legend!$B$72, IF(J93=[10]Legend!$A$73, [10]Legend!$B$73, (IF(J93=[10]Legend!$A$74, [10]Legend!$B$74, IF(J93=[10]Legend!$A$75, [10]Legend!$B$75, "")))))))))))</f>
        <v>120</v>
      </c>
      <c r="L93" s="5">
        <v>83</v>
      </c>
      <c r="M93" s="5">
        <v>3</v>
      </c>
      <c r="N93" s="5" t="s">
        <v>30</v>
      </c>
      <c r="O93" s="5"/>
    </row>
    <row r="94" spans="1:15" ht="14" customHeight="1" x14ac:dyDescent="0.45">
      <c r="A94" s="7">
        <v>45568</v>
      </c>
      <c r="B94" s="5" t="s">
        <v>24</v>
      </c>
      <c r="C94" s="5" t="s">
        <v>93</v>
      </c>
      <c r="D94" s="5">
        <v>3</v>
      </c>
      <c r="E94" s="5">
        <v>4</v>
      </c>
      <c r="F94" s="5">
        <v>1</v>
      </c>
      <c r="G94" s="7">
        <v>45713</v>
      </c>
      <c r="H94" s="5" t="s">
        <v>91</v>
      </c>
      <c r="I94" s="5">
        <v>4</v>
      </c>
      <c r="J94" s="5" t="s">
        <v>26</v>
      </c>
      <c r="K94" s="6">
        <f>IF(J94=[3]Legend!$A$67,[3]Legend!$B$67,(IF(J94=[3]Legend!$A$68,[3]Legend!$B$68,IF(J94=[3]Legend!$A$69, [3]Legend!$B$69, IF(J94=[3]Legend!$A$70, [3]Legend!$B$70, IF(J94=[3]Legend!$A$71, [3]Legend!$B$71, IF(J94=[3]Legend!$A$72, [3]Legend!$B$72, IF(J94=[3]Legend!$A$73, [3]Legend!$B$73, (IF(J94=[3]Legend!$A$74, [3]Legend!$B$74, IF(J94=[3]Legend!$A$75, [3]Legend!$B$75, "")))))))))))</f>
        <v>3</v>
      </c>
      <c r="L94" s="5">
        <v>3</v>
      </c>
      <c r="M94" s="5">
        <v>0</v>
      </c>
      <c r="N94" s="5"/>
      <c r="O94" s="5"/>
    </row>
    <row r="95" spans="1:15" ht="14" customHeight="1" x14ac:dyDescent="0.45">
      <c r="A95" s="7">
        <v>45568</v>
      </c>
      <c r="B95" s="5" t="s">
        <v>24</v>
      </c>
      <c r="C95" s="5" t="s">
        <v>93</v>
      </c>
      <c r="D95" s="5">
        <v>3</v>
      </c>
      <c r="E95" s="5">
        <v>4</v>
      </c>
      <c r="F95" s="5">
        <v>1</v>
      </c>
      <c r="G95" s="7">
        <v>45713</v>
      </c>
      <c r="H95" s="5" t="s">
        <v>91</v>
      </c>
      <c r="I95" s="5">
        <v>4</v>
      </c>
      <c r="J95" s="5" t="s">
        <v>28</v>
      </c>
      <c r="K95" s="6">
        <f>IF(J95=[3]Legend!$A$67,[3]Legend!$B$67,(IF(J95=[3]Legend!$A$68,[3]Legend!$B$68,IF(J95=[3]Legend!$A$69, [3]Legend!$B$69, IF(J95=[3]Legend!$A$70, [3]Legend!$B$70, IF(J95=[3]Legend!$A$71, [3]Legend!$B$71, IF(J95=[3]Legend!$A$72, [3]Legend!$B$72, IF(J95=[3]Legend!$A$73, [3]Legend!$B$73, (IF(J95=[3]Legend!$A$74, [3]Legend!$B$74, IF(J95=[3]Legend!$A$75, [3]Legend!$B$75, "")))))))))))</f>
        <v>120</v>
      </c>
      <c r="L95" s="5">
        <v>120</v>
      </c>
      <c r="M95" s="5">
        <v>2</v>
      </c>
      <c r="N95" s="5" t="s">
        <v>30</v>
      </c>
      <c r="O95" s="5"/>
    </row>
    <row r="96" spans="1:15" ht="14" customHeight="1" x14ac:dyDescent="0.45">
      <c r="A96" s="7">
        <v>45568</v>
      </c>
      <c r="B96" s="5" t="s">
        <v>24</v>
      </c>
      <c r="C96" s="5" t="s">
        <v>93</v>
      </c>
      <c r="D96" s="5">
        <v>3</v>
      </c>
      <c r="E96" s="5">
        <v>4</v>
      </c>
      <c r="F96" s="5">
        <v>2</v>
      </c>
      <c r="G96" s="7">
        <v>45713</v>
      </c>
      <c r="H96" s="5" t="s">
        <v>91</v>
      </c>
      <c r="I96" s="5">
        <v>4</v>
      </c>
      <c r="J96" s="5" t="s">
        <v>26</v>
      </c>
      <c r="K96" s="6">
        <f>IF(J96=[3]Legend!$A$67,[3]Legend!$B$67,(IF(J96=[3]Legend!$A$68,[3]Legend!$B$68,IF(J96=[3]Legend!$A$69, [3]Legend!$B$69, IF(J96=[3]Legend!$A$70, [3]Legend!$B$70, IF(J96=[3]Legend!$A$71, [3]Legend!$B$71, IF(J96=[3]Legend!$A$72, [3]Legend!$B$72, IF(J96=[3]Legend!$A$73, [3]Legend!$B$73, (IF(J96=[3]Legend!$A$74, [3]Legend!$B$74, IF(J96=[3]Legend!$A$75, [3]Legend!$B$75, "")))))))))))</f>
        <v>3</v>
      </c>
      <c r="L96" s="5">
        <v>3</v>
      </c>
      <c r="M96" s="5">
        <v>0</v>
      </c>
      <c r="N96" s="5"/>
      <c r="O96" s="5"/>
    </row>
    <row r="97" spans="1:15" ht="14" customHeight="1" x14ac:dyDescent="0.45">
      <c r="A97" s="7">
        <v>45568</v>
      </c>
      <c r="B97" s="5" t="s">
        <v>24</v>
      </c>
      <c r="C97" s="5" t="s">
        <v>93</v>
      </c>
      <c r="D97" s="5">
        <v>3</v>
      </c>
      <c r="E97" s="5">
        <v>4</v>
      </c>
      <c r="F97" s="5">
        <v>2</v>
      </c>
      <c r="G97" s="7">
        <v>45713</v>
      </c>
      <c r="H97" s="5" t="s">
        <v>91</v>
      </c>
      <c r="I97" s="5">
        <v>4</v>
      </c>
      <c r="J97" s="5" t="s">
        <v>28</v>
      </c>
      <c r="K97" s="6">
        <f>IF(J97=[3]Legend!$A$67,[3]Legend!$B$67,(IF(J97=[3]Legend!$A$68,[3]Legend!$B$68,IF(J97=[3]Legend!$A$69, [3]Legend!$B$69, IF(J97=[3]Legend!$A$70, [3]Legend!$B$70, IF(J97=[3]Legend!$A$71, [3]Legend!$B$71, IF(J97=[3]Legend!$A$72, [3]Legend!$B$72, IF(J97=[3]Legend!$A$73, [3]Legend!$B$73, (IF(J97=[3]Legend!$A$74, [3]Legend!$B$74, IF(J97=[3]Legend!$A$75, [3]Legend!$B$75, "")))))))))))</f>
        <v>120</v>
      </c>
      <c r="L97" s="5">
        <v>120</v>
      </c>
      <c r="M97" s="5">
        <v>3</v>
      </c>
      <c r="N97" s="5"/>
      <c r="O97" s="5"/>
    </row>
    <row r="98" spans="1:15" ht="14" customHeight="1" x14ac:dyDescent="0.45">
      <c r="A98" s="7">
        <v>45568</v>
      </c>
      <c r="B98" s="16" t="s">
        <v>24</v>
      </c>
      <c r="C98" s="16" t="s">
        <v>93</v>
      </c>
      <c r="D98" s="16">
        <v>3</v>
      </c>
      <c r="E98" s="16">
        <v>5</v>
      </c>
      <c r="F98" s="16">
        <v>2</v>
      </c>
      <c r="G98" s="18">
        <v>45712</v>
      </c>
      <c r="H98" s="16" t="s">
        <v>91</v>
      </c>
      <c r="I98" s="16">
        <v>4</v>
      </c>
      <c r="J98" s="16" t="s">
        <v>26</v>
      </c>
      <c r="K98" s="6">
        <f>IF(J98=[3]Legend!$A$67,[3]Legend!$B$67,(IF(J98=[3]Legend!$A$68,[3]Legend!$B$68,IF(J98=[3]Legend!$A$69, [3]Legend!$B$69, IF(J98=[3]Legend!$A$70, [3]Legend!$B$70, IF(J98=[3]Legend!$A$71, [3]Legend!$B$71, IF(J98=[3]Legend!$A$72, [3]Legend!$B$72, IF(J98=[3]Legend!$A$73, [3]Legend!$B$73, (IF(J98=[3]Legend!$A$74, [3]Legend!$B$74, IF(J98=[3]Legend!$A$75, [3]Legend!$B$75, "")))))))))))</f>
        <v>3</v>
      </c>
      <c r="L98" s="5">
        <v>3</v>
      </c>
      <c r="M98" s="5">
        <v>0</v>
      </c>
      <c r="N98" s="5"/>
      <c r="O98" s="5" t="s">
        <v>95</v>
      </c>
    </row>
    <row r="99" spans="1:15" ht="14" customHeight="1" x14ac:dyDescent="0.45">
      <c r="A99" s="27">
        <v>45568</v>
      </c>
      <c r="B99" s="28" t="s">
        <v>24</v>
      </c>
      <c r="C99" s="28" t="s">
        <v>93</v>
      </c>
      <c r="D99" s="28">
        <v>3</v>
      </c>
      <c r="E99" s="28">
        <v>5</v>
      </c>
      <c r="F99" s="28">
        <v>2</v>
      </c>
      <c r="G99" s="29">
        <v>45712</v>
      </c>
      <c r="H99" s="28" t="s">
        <v>91</v>
      </c>
      <c r="I99" s="28">
        <v>4</v>
      </c>
      <c r="J99" s="28" t="s">
        <v>28</v>
      </c>
      <c r="K99" s="6">
        <f>IF(J99=[3]Legend!$A$67,[3]Legend!$B$67,(IF(J99=[3]Legend!$A$68,[3]Legend!$B$68,IF(J99=[3]Legend!$A$69, [3]Legend!$B$69, IF(J99=[3]Legend!$A$70, [3]Legend!$B$70, IF(J99=[3]Legend!$A$71, [3]Legend!$B$71, IF(J99=[3]Legend!$A$72, [3]Legend!$B$72, IF(J99=[3]Legend!$A$73, [3]Legend!$B$73, (IF(J99=[3]Legend!$A$74, [3]Legend!$B$74, IF(J99=[3]Legend!$A$75, [3]Legend!$B$75, "")))))))))))</f>
        <v>120</v>
      </c>
      <c r="L99" s="5">
        <v>120</v>
      </c>
      <c r="M99" s="5">
        <v>1</v>
      </c>
      <c r="N99" s="5" t="s">
        <v>30</v>
      </c>
      <c r="O99" s="5" t="s">
        <v>95</v>
      </c>
    </row>
    <row r="100" spans="1:15" ht="14" customHeight="1" x14ac:dyDescent="0.45">
      <c r="A100" s="7">
        <v>45568</v>
      </c>
      <c r="B100" s="16" t="s">
        <v>24</v>
      </c>
      <c r="C100" s="16" t="s">
        <v>93</v>
      </c>
      <c r="D100" s="16">
        <v>3</v>
      </c>
      <c r="E100" s="16">
        <v>5</v>
      </c>
      <c r="F100" s="16">
        <v>1</v>
      </c>
      <c r="G100" s="18">
        <v>45713</v>
      </c>
      <c r="H100" s="16" t="s">
        <v>91</v>
      </c>
      <c r="I100" s="16">
        <v>4</v>
      </c>
      <c r="J100" s="16" t="s">
        <v>26</v>
      </c>
      <c r="K100" s="6">
        <f>IF(J100=[3]Legend!$A$67,[3]Legend!$B$67,(IF(J100=[3]Legend!$A$68,[3]Legend!$B$68,IF(J100=[3]Legend!$A$69, [3]Legend!$B$69, IF(J100=[3]Legend!$A$70, [3]Legend!$B$70, IF(J100=[3]Legend!$A$71, [3]Legend!$B$71, IF(J100=[3]Legend!$A$72, [3]Legend!$B$72, IF(J100=[3]Legend!$A$73, [3]Legend!$B$73, (IF(J100=[3]Legend!$A$74, [3]Legend!$B$74, IF(J100=[3]Legend!$A$75, [3]Legend!$B$75, "")))))))))))</f>
        <v>3</v>
      </c>
      <c r="L100" s="5">
        <v>3</v>
      </c>
      <c r="M100" s="5">
        <v>0</v>
      </c>
      <c r="N100" s="5"/>
      <c r="O100" s="5" t="s">
        <v>97</v>
      </c>
    </row>
    <row r="101" spans="1:15" ht="14" customHeight="1" x14ac:dyDescent="0.45">
      <c r="A101" s="27">
        <v>45568</v>
      </c>
      <c r="B101" s="28" t="s">
        <v>24</v>
      </c>
      <c r="C101" s="28" t="s">
        <v>93</v>
      </c>
      <c r="D101" s="28">
        <v>3</v>
      </c>
      <c r="E101" s="28">
        <v>5</v>
      </c>
      <c r="F101" s="28">
        <v>1</v>
      </c>
      <c r="G101" s="29">
        <v>45713</v>
      </c>
      <c r="H101" s="28" t="s">
        <v>91</v>
      </c>
      <c r="I101" s="28">
        <v>4</v>
      </c>
      <c r="J101" s="28" t="s">
        <v>28</v>
      </c>
      <c r="K101" s="6">
        <f>IF(J101=[3]Legend!$A$67,[3]Legend!$B$67,(IF(J101=[3]Legend!$A$68,[3]Legend!$B$68,IF(J101=[3]Legend!$A$69, [3]Legend!$B$69, IF(J101=[3]Legend!$A$70, [3]Legend!$B$70, IF(J101=[3]Legend!$A$71, [3]Legend!$B$71, IF(J101=[3]Legend!$A$72, [3]Legend!$B$72, IF(J101=[3]Legend!$A$73, [3]Legend!$B$73, (IF(J101=[3]Legend!$A$74, [3]Legend!$B$74, IF(J101=[3]Legend!$A$75, [3]Legend!$B$75, "")))))))))))</f>
        <v>120</v>
      </c>
      <c r="L101" s="5">
        <v>119</v>
      </c>
      <c r="M101" s="5">
        <v>2</v>
      </c>
      <c r="N101" s="5" t="s">
        <v>30</v>
      </c>
      <c r="O101" s="5" t="s">
        <v>97</v>
      </c>
    </row>
    <row r="102" spans="1:15" ht="14" customHeight="1" x14ac:dyDescent="0.45">
      <c r="A102" s="7">
        <v>45568</v>
      </c>
      <c r="B102" s="16" t="s">
        <v>24</v>
      </c>
      <c r="C102" s="16" t="s">
        <v>93</v>
      </c>
      <c r="D102" s="16">
        <v>3</v>
      </c>
      <c r="E102" s="16">
        <v>6</v>
      </c>
      <c r="F102" s="16">
        <v>1</v>
      </c>
      <c r="G102" s="18">
        <v>45712</v>
      </c>
      <c r="H102" s="16" t="s">
        <v>91</v>
      </c>
      <c r="I102" s="16">
        <v>4</v>
      </c>
      <c r="J102" s="16" t="s">
        <v>26</v>
      </c>
      <c r="K102" s="6">
        <f>IF(J102=[3]Legend!$A$67,[3]Legend!$B$67,(IF(J102=[3]Legend!$A$68,[3]Legend!$B$68,IF(J102=[3]Legend!$A$69, [3]Legend!$B$69, IF(J102=[3]Legend!$A$70, [3]Legend!$B$70, IF(J102=[3]Legend!$A$71, [3]Legend!$B$71, IF(J102=[3]Legend!$A$72, [3]Legend!$B$72, IF(J102=[3]Legend!$A$73, [3]Legend!$B$73, (IF(J102=[3]Legend!$A$74, [3]Legend!$B$74, IF(J102=[3]Legend!$A$75, [3]Legend!$B$75, "")))))))))))</f>
        <v>3</v>
      </c>
      <c r="L102" s="5">
        <v>3</v>
      </c>
      <c r="M102" s="5">
        <v>0</v>
      </c>
      <c r="N102" s="5"/>
      <c r="O102" s="5" t="s">
        <v>94</v>
      </c>
    </row>
    <row r="103" spans="1:15" ht="14" customHeight="1" x14ac:dyDescent="0.45">
      <c r="A103" s="27">
        <v>45568</v>
      </c>
      <c r="B103" s="28" t="s">
        <v>24</v>
      </c>
      <c r="C103" s="28" t="s">
        <v>93</v>
      </c>
      <c r="D103" s="28">
        <v>3</v>
      </c>
      <c r="E103" s="28">
        <v>6</v>
      </c>
      <c r="F103" s="28">
        <v>1</v>
      </c>
      <c r="G103" s="29">
        <v>45712</v>
      </c>
      <c r="H103" s="28" t="s">
        <v>91</v>
      </c>
      <c r="I103" s="28">
        <v>4</v>
      </c>
      <c r="J103" s="28" t="s">
        <v>28</v>
      </c>
      <c r="K103" s="6">
        <f>IF(J103=[3]Legend!$A$67,[3]Legend!$B$67,(IF(J103=[3]Legend!$A$68,[3]Legend!$B$68,IF(J103=[3]Legend!$A$69, [3]Legend!$B$69, IF(J103=[3]Legend!$A$70, [3]Legend!$B$70, IF(J103=[3]Legend!$A$71, [3]Legend!$B$71, IF(J103=[3]Legend!$A$72, [3]Legend!$B$72, IF(J103=[3]Legend!$A$73, [3]Legend!$B$73, (IF(J103=[3]Legend!$A$74, [3]Legend!$B$74, IF(J103=[3]Legend!$A$75, [3]Legend!$B$75, "")))))))))))</f>
        <v>120</v>
      </c>
      <c r="L103" s="5">
        <v>118</v>
      </c>
      <c r="M103" s="5">
        <v>2</v>
      </c>
      <c r="N103" s="5" t="s">
        <v>23</v>
      </c>
      <c r="O103" s="5" t="s">
        <v>94</v>
      </c>
    </row>
    <row r="104" spans="1:15" ht="14" customHeight="1" x14ac:dyDescent="0.45">
      <c r="A104" s="7">
        <v>45568</v>
      </c>
      <c r="B104" s="16" t="s">
        <v>24</v>
      </c>
      <c r="C104" s="16" t="s">
        <v>93</v>
      </c>
      <c r="D104" s="16">
        <v>3</v>
      </c>
      <c r="E104" s="16">
        <v>6</v>
      </c>
      <c r="F104" s="16">
        <v>2</v>
      </c>
      <c r="G104" s="18">
        <v>45713</v>
      </c>
      <c r="H104" s="16" t="s">
        <v>91</v>
      </c>
      <c r="I104" s="16">
        <v>4</v>
      </c>
      <c r="J104" s="16" t="s">
        <v>26</v>
      </c>
      <c r="K104" s="6">
        <f>IF(J104=[3]Legend!$A$67,[3]Legend!$B$67,(IF(J104=[3]Legend!$A$68,[3]Legend!$B$68,IF(J104=[3]Legend!$A$69, [3]Legend!$B$69, IF(J104=[3]Legend!$A$70, [3]Legend!$B$70, IF(J104=[3]Legend!$A$71, [3]Legend!$B$71, IF(J104=[3]Legend!$A$72, [3]Legend!$B$72, IF(J104=[3]Legend!$A$73, [3]Legend!$B$73, (IF(J104=[3]Legend!$A$74, [3]Legend!$B$74, IF(J104=[3]Legend!$A$75, [3]Legend!$B$75, "")))))))))))</f>
        <v>3</v>
      </c>
      <c r="L104" s="5">
        <v>3</v>
      </c>
      <c r="M104" s="5">
        <v>0</v>
      </c>
      <c r="N104" s="5"/>
      <c r="O104" s="5" t="s">
        <v>98</v>
      </c>
    </row>
    <row r="105" spans="1:15" ht="14" customHeight="1" x14ac:dyDescent="0.45">
      <c r="A105" s="27">
        <v>45568</v>
      </c>
      <c r="B105" s="28" t="s">
        <v>24</v>
      </c>
      <c r="C105" s="28" t="s">
        <v>93</v>
      </c>
      <c r="D105" s="28">
        <v>3</v>
      </c>
      <c r="E105" s="28">
        <v>6</v>
      </c>
      <c r="F105" s="28">
        <v>2</v>
      </c>
      <c r="G105" s="29">
        <v>45713</v>
      </c>
      <c r="H105" s="28" t="s">
        <v>91</v>
      </c>
      <c r="I105" s="28">
        <v>4</v>
      </c>
      <c r="J105" s="28" t="s">
        <v>28</v>
      </c>
      <c r="K105" s="6">
        <f>IF(J105=[3]Legend!$A$67,[3]Legend!$B$67,(IF(J105=[3]Legend!$A$68,[3]Legend!$B$68,IF(J105=[3]Legend!$A$69, [3]Legend!$B$69, IF(J105=[3]Legend!$A$70, [3]Legend!$B$70, IF(J105=[3]Legend!$A$71, [3]Legend!$B$71, IF(J105=[3]Legend!$A$72, [3]Legend!$B$72, IF(J105=[3]Legend!$A$73, [3]Legend!$B$73, (IF(J105=[3]Legend!$A$74, [3]Legend!$B$74, IF(J105=[3]Legend!$A$75, [3]Legend!$B$75, "")))))))))))</f>
        <v>120</v>
      </c>
      <c r="L105" s="5">
        <v>120</v>
      </c>
      <c r="M105" s="5">
        <v>2</v>
      </c>
      <c r="N105" s="5" t="s">
        <v>30</v>
      </c>
      <c r="O105" s="5" t="s">
        <v>98</v>
      </c>
    </row>
    <row r="106" spans="1:15" ht="14" customHeight="1" x14ac:dyDescent="0.45">
      <c r="A106" s="7">
        <v>45568</v>
      </c>
      <c r="B106" s="16" t="s">
        <v>24</v>
      </c>
      <c r="C106" s="16" t="s">
        <v>93</v>
      </c>
      <c r="D106" s="16">
        <v>3</v>
      </c>
      <c r="E106" s="16">
        <v>7</v>
      </c>
      <c r="F106" s="16">
        <v>2</v>
      </c>
      <c r="G106" s="18">
        <v>45712</v>
      </c>
      <c r="H106" s="16" t="s">
        <v>91</v>
      </c>
      <c r="I106" s="16">
        <v>4</v>
      </c>
      <c r="J106" s="16" t="s">
        <v>26</v>
      </c>
      <c r="K106" s="6">
        <f>IF(J106=[3]Legend!$A$67,[3]Legend!$B$67,(IF(J106=[3]Legend!$A$68,[3]Legend!$B$68,IF(J106=[3]Legend!$A$69, [3]Legend!$B$69, IF(J106=[3]Legend!$A$70, [3]Legend!$B$70, IF(J106=[3]Legend!$A$71, [3]Legend!$B$71, IF(J106=[3]Legend!$A$72, [3]Legend!$B$72, IF(J106=[3]Legend!$A$73, [3]Legend!$B$73, (IF(J106=[3]Legend!$A$74, [3]Legend!$B$74, IF(J106=[3]Legend!$A$75, [3]Legend!$B$75, "")))))))))))</f>
        <v>3</v>
      </c>
      <c r="L106" s="5">
        <v>3</v>
      </c>
      <c r="M106" s="5">
        <v>0</v>
      </c>
      <c r="N106" s="5"/>
      <c r="O106" s="5"/>
    </row>
    <row r="107" spans="1:15" ht="14" customHeight="1" x14ac:dyDescent="0.45">
      <c r="A107" s="27">
        <v>45568</v>
      </c>
      <c r="B107" s="28" t="s">
        <v>24</v>
      </c>
      <c r="C107" s="28" t="s">
        <v>93</v>
      </c>
      <c r="D107" s="28">
        <v>3</v>
      </c>
      <c r="E107" s="28">
        <v>7</v>
      </c>
      <c r="F107" s="28">
        <v>2</v>
      </c>
      <c r="G107" s="29">
        <v>45712</v>
      </c>
      <c r="H107" s="28" t="s">
        <v>91</v>
      </c>
      <c r="I107" s="28">
        <v>4</v>
      </c>
      <c r="J107" s="28" t="s">
        <v>28</v>
      </c>
      <c r="K107" s="6">
        <f>IF(J107=[3]Legend!$A$67,[3]Legend!$B$67,(IF(J107=[3]Legend!$A$68,[3]Legend!$B$68,IF(J107=[3]Legend!$A$69, [3]Legend!$B$69, IF(J107=[3]Legend!$A$70, [3]Legend!$B$70, IF(J107=[3]Legend!$A$71, [3]Legend!$B$71, IF(J107=[3]Legend!$A$72, [3]Legend!$B$72, IF(J107=[3]Legend!$A$73, [3]Legend!$B$73, (IF(J107=[3]Legend!$A$74, [3]Legend!$B$74, IF(J107=[3]Legend!$A$75, [3]Legend!$B$75, "")))))))))))</f>
        <v>120</v>
      </c>
      <c r="L107" s="5">
        <v>119</v>
      </c>
      <c r="M107" s="5">
        <v>0</v>
      </c>
      <c r="N107" s="5"/>
      <c r="O107" s="5"/>
    </row>
    <row r="108" spans="1:15" ht="14" customHeight="1" x14ac:dyDescent="0.45">
      <c r="A108" s="7">
        <v>45568</v>
      </c>
      <c r="B108" s="16" t="s">
        <v>24</v>
      </c>
      <c r="C108" s="16" t="s">
        <v>93</v>
      </c>
      <c r="D108" s="16">
        <v>3</v>
      </c>
      <c r="E108" s="16">
        <v>7</v>
      </c>
      <c r="F108" s="16">
        <v>1</v>
      </c>
      <c r="G108" s="18">
        <v>45713</v>
      </c>
      <c r="H108" s="16" t="s">
        <v>91</v>
      </c>
      <c r="I108" s="16">
        <v>4</v>
      </c>
      <c r="J108" s="16" t="s">
        <v>26</v>
      </c>
      <c r="K108" s="6">
        <f>IF(J108=[3]Legend!$A$67,[3]Legend!$B$67,(IF(J108=[3]Legend!$A$68,[3]Legend!$B$68,IF(J108=[3]Legend!$A$69, [3]Legend!$B$69, IF(J108=[3]Legend!$A$70, [3]Legend!$B$70, IF(J108=[3]Legend!$A$71, [3]Legend!$B$71, IF(J108=[3]Legend!$A$72, [3]Legend!$B$72, IF(J108=[3]Legend!$A$73, [3]Legend!$B$73, (IF(J108=[3]Legend!$A$74, [3]Legend!$B$74, IF(J108=[3]Legend!$A$75, [3]Legend!$B$75, "")))))))))))</f>
        <v>3</v>
      </c>
      <c r="L108" s="5">
        <v>3</v>
      </c>
      <c r="M108" s="5">
        <v>0</v>
      </c>
      <c r="N108" s="5"/>
      <c r="O108" s="5"/>
    </row>
    <row r="109" spans="1:15" ht="14" customHeight="1" x14ac:dyDescent="0.45">
      <c r="A109" s="27">
        <v>45568</v>
      </c>
      <c r="B109" s="28" t="s">
        <v>24</v>
      </c>
      <c r="C109" s="28" t="s">
        <v>93</v>
      </c>
      <c r="D109" s="28">
        <v>3</v>
      </c>
      <c r="E109" s="28">
        <v>7</v>
      </c>
      <c r="F109" s="28">
        <v>1</v>
      </c>
      <c r="G109" s="29">
        <v>45713</v>
      </c>
      <c r="H109" s="28" t="s">
        <v>91</v>
      </c>
      <c r="I109" s="28">
        <v>4</v>
      </c>
      <c r="J109" s="28" t="s">
        <v>28</v>
      </c>
      <c r="K109" s="6">
        <f>IF(J109=[3]Legend!$A$67,[3]Legend!$B$67,(IF(J109=[3]Legend!$A$68,[3]Legend!$B$68,IF(J109=[3]Legend!$A$69, [3]Legend!$B$69, IF(J109=[3]Legend!$A$70, [3]Legend!$B$70, IF(J109=[3]Legend!$A$71, [3]Legend!$B$71, IF(J109=[3]Legend!$A$72, [3]Legend!$B$72, IF(J109=[3]Legend!$A$73, [3]Legend!$B$73, (IF(J109=[3]Legend!$A$74, [3]Legend!$B$74, IF(J109=[3]Legend!$A$75, [3]Legend!$B$75, "")))))))))))</f>
        <v>120</v>
      </c>
      <c r="L109" s="5">
        <v>119</v>
      </c>
      <c r="M109" s="5">
        <v>1</v>
      </c>
      <c r="N109" s="5" t="s">
        <v>30</v>
      </c>
      <c r="O109" s="5"/>
    </row>
    <row r="110" spans="1:15" ht="14" customHeight="1" x14ac:dyDescent="0.45">
      <c r="A110" s="7">
        <v>45568</v>
      </c>
      <c r="B110" s="16" t="s">
        <v>24</v>
      </c>
      <c r="C110" s="16" t="s">
        <v>93</v>
      </c>
      <c r="D110" s="16">
        <v>3</v>
      </c>
      <c r="E110" s="16">
        <v>8</v>
      </c>
      <c r="F110" s="16">
        <v>1</v>
      </c>
      <c r="G110" s="18">
        <v>45712</v>
      </c>
      <c r="H110" s="16" t="s">
        <v>91</v>
      </c>
      <c r="I110" s="16">
        <v>4</v>
      </c>
      <c r="J110" s="16" t="s">
        <v>26</v>
      </c>
      <c r="K110" s="6">
        <f>IF(J110=[3]Legend!$A$67,[3]Legend!$B$67,(IF(J110=[3]Legend!$A$68,[3]Legend!$B$68,IF(J110=[3]Legend!$A$69, [3]Legend!$B$69, IF(J110=[3]Legend!$A$70, [3]Legend!$B$70, IF(J110=[3]Legend!$A$71, [3]Legend!$B$71, IF(J110=[3]Legend!$A$72, [3]Legend!$B$72, IF(J110=[3]Legend!$A$73, [3]Legend!$B$73, (IF(J110=[3]Legend!$A$74, [3]Legend!$B$74, IF(J110=[3]Legend!$A$75, [3]Legend!$B$75, "")))))))))))</f>
        <v>3</v>
      </c>
      <c r="L110" s="5">
        <v>2</v>
      </c>
      <c r="M110" s="5">
        <v>0</v>
      </c>
      <c r="N110" s="5"/>
      <c r="O110" s="5"/>
    </row>
    <row r="111" spans="1:15" ht="14" customHeight="1" x14ac:dyDescent="0.45">
      <c r="A111" s="27">
        <v>45568</v>
      </c>
      <c r="B111" s="28" t="s">
        <v>24</v>
      </c>
      <c r="C111" s="28" t="s">
        <v>93</v>
      </c>
      <c r="D111" s="28">
        <v>3</v>
      </c>
      <c r="E111" s="28">
        <v>8</v>
      </c>
      <c r="F111" s="28">
        <v>1</v>
      </c>
      <c r="G111" s="29">
        <v>45712</v>
      </c>
      <c r="H111" s="28" t="s">
        <v>91</v>
      </c>
      <c r="I111" s="28">
        <v>4</v>
      </c>
      <c r="J111" s="28" t="s">
        <v>28</v>
      </c>
      <c r="K111" s="6">
        <f>IF(J111=[3]Legend!$A$67,[3]Legend!$B$67,(IF(J111=[3]Legend!$A$68,[3]Legend!$B$68,IF(J111=[3]Legend!$A$69, [3]Legend!$B$69, IF(J111=[3]Legend!$A$70, [3]Legend!$B$70, IF(J111=[3]Legend!$A$71, [3]Legend!$B$71, IF(J111=[3]Legend!$A$72, [3]Legend!$B$72, IF(J111=[3]Legend!$A$73, [3]Legend!$B$73, (IF(J111=[3]Legend!$A$74, [3]Legend!$B$74, IF(J111=[3]Legend!$A$75, [3]Legend!$B$75, "")))))))))))</f>
        <v>120</v>
      </c>
      <c r="L111" s="5">
        <v>119</v>
      </c>
      <c r="M111" s="5">
        <v>3</v>
      </c>
      <c r="N111" s="5" t="s">
        <v>23</v>
      </c>
      <c r="O111" s="5"/>
    </row>
    <row r="112" spans="1:15" ht="14" customHeight="1" x14ac:dyDescent="0.45">
      <c r="A112" s="8">
        <v>45568</v>
      </c>
      <c r="B112" s="9" t="s">
        <v>24</v>
      </c>
      <c r="C112" s="9" t="s">
        <v>93</v>
      </c>
      <c r="D112" s="9">
        <v>3</v>
      </c>
      <c r="E112" s="9">
        <v>8</v>
      </c>
      <c r="F112" s="9">
        <v>2</v>
      </c>
      <c r="G112" s="10">
        <v>45712</v>
      </c>
      <c r="H112" s="9" t="s">
        <v>91</v>
      </c>
      <c r="I112" s="9">
        <v>4</v>
      </c>
      <c r="J112" s="9" t="s">
        <v>26</v>
      </c>
      <c r="K112" s="6">
        <f>IF(J112=[3]Legend!$A$67,[3]Legend!$B$67,(IF(J112=[3]Legend!$A$68,[3]Legend!$B$68,IF(J112=[3]Legend!$A$69, [3]Legend!$B$69, IF(J112=[3]Legend!$A$70, [3]Legend!$B$70, IF(J112=[3]Legend!$A$71, [3]Legend!$B$71, IF(J112=[3]Legend!$A$72, [3]Legend!$B$72, IF(J112=[3]Legend!$A$73, [3]Legend!$B$73, (IF(J112=[3]Legend!$A$74, [3]Legend!$B$74, IF(J112=[3]Legend!$A$75, [3]Legend!$B$75, "")))))))))))</f>
        <v>3</v>
      </c>
      <c r="L112" s="5">
        <v>3</v>
      </c>
      <c r="M112" s="5">
        <v>0</v>
      </c>
      <c r="N112" s="5"/>
      <c r="O112" s="5"/>
    </row>
    <row r="113" spans="1:15" ht="14" customHeight="1" x14ac:dyDescent="0.45">
      <c r="A113" s="11">
        <v>45568</v>
      </c>
      <c r="B113" s="12" t="s">
        <v>24</v>
      </c>
      <c r="C113" s="12" t="s">
        <v>93</v>
      </c>
      <c r="D113" s="12">
        <v>3</v>
      </c>
      <c r="E113" s="12">
        <v>8</v>
      </c>
      <c r="F113" s="12">
        <v>2</v>
      </c>
      <c r="G113" s="13">
        <v>45712</v>
      </c>
      <c r="H113" s="12" t="s">
        <v>91</v>
      </c>
      <c r="I113" s="12">
        <v>4</v>
      </c>
      <c r="J113" s="12" t="s">
        <v>28</v>
      </c>
      <c r="K113" s="6">
        <f>IF(J113=[3]Legend!$A$67,[3]Legend!$B$67,(IF(J113=[3]Legend!$A$68,[3]Legend!$B$68,IF(J113=[3]Legend!$A$69, [3]Legend!$B$69, IF(J113=[3]Legend!$A$70, [3]Legend!$B$70, IF(J113=[3]Legend!$A$71, [3]Legend!$B$71, IF(J113=[3]Legend!$A$72, [3]Legend!$B$72, IF(J113=[3]Legend!$A$73, [3]Legend!$B$73, (IF(J113=[3]Legend!$A$74, [3]Legend!$B$74, IF(J113=[3]Legend!$A$75, [3]Legend!$B$75, "")))))))))))</f>
        <v>120</v>
      </c>
      <c r="L113" s="5">
        <v>120</v>
      </c>
      <c r="M113" s="5">
        <v>2</v>
      </c>
      <c r="N113" s="5" t="s">
        <v>30</v>
      </c>
      <c r="O113" s="5"/>
    </row>
    <row r="114" spans="1:15" ht="14" customHeight="1" x14ac:dyDescent="0.45">
      <c r="A114" s="7">
        <v>45568</v>
      </c>
      <c r="B114" s="16" t="s">
        <v>24</v>
      </c>
      <c r="C114" s="16" t="s">
        <v>93</v>
      </c>
      <c r="D114" s="16">
        <v>3</v>
      </c>
      <c r="E114" s="16">
        <v>9</v>
      </c>
      <c r="F114" s="16">
        <v>1</v>
      </c>
      <c r="G114" s="18">
        <v>45713</v>
      </c>
      <c r="H114" s="16" t="s">
        <v>91</v>
      </c>
      <c r="I114" s="16">
        <v>4</v>
      </c>
      <c r="J114" s="16" t="s">
        <v>26</v>
      </c>
      <c r="K114" s="6">
        <f>IF(J114=[3]Legend!$A$67,[3]Legend!$B$67,(IF(J114=[3]Legend!$A$68,[3]Legend!$B$68,IF(J114=[3]Legend!$A$69, [3]Legend!$B$69, IF(J114=[3]Legend!$A$70, [3]Legend!$B$70, IF(J114=[3]Legend!$A$71, [3]Legend!$B$71, IF(J114=[3]Legend!$A$72, [3]Legend!$B$72, IF(J114=[3]Legend!$A$73, [3]Legend!$B$73, (IF(J114=[3]Legend!$A$74, [3]Legend!$B$74, IF(J114=[3]Legend!$A$75, [3]Legend!$B$75, "")))))))))))</f>
        <v>3</v>
      </c>
      <c r="L114" s="5">
        <v>3</v>
      </c>
      <c r="M114" s="5">
        <v>0</v>
      </c>
      <c r="N114" s="5"/>
      <c r="O114" s="5" t="s">
        <v>98</v>
      </c>
    </row>
    <row r="115" spans="1:15" ht="14" customHeight="1" x14ac:dyDescent="0.45">
      <c r="A115" s="27">
        <v>45568</v>
      </c>
      <c r="B115" s="28" t="s">
        <v>24</v>
      </c>
      <c r="C115" s="28" t="s">
        <v>93</v>
      </c>
      <c r="D115" s="28">
        <v>3</v>
      </c>
      <c r="E115" s="28">
        <v>9</v>
      </c>
      <c r="F115" s="28">
        <v>1</v>
      </c>
      <c r="G115" s="29">
        <v>45713</v>
      </c>
      <c r="H115" s="28" t="s">
        <v>91</v>
      </c>
      <c r="I115" s="28">
        <v>4</v>
      </c>
      <c r="J115" s="28" t="s">
        <v>28</v>
      </c>
      <c r="K115" s="6">
        <f>IF(J115=[3]Legend!$A$67,[3]Legend!$B$67,(IF(J115=[3]Legend!$A$68,[3]Legend!$B$68,IF(J115=[3]Legend!$A$69, [3]Legend!$B$69, IF(J115=[3]Legend!$A$70, [3]Legend!$B$70, IF(J115=[3]Legend!$A$71, [3]Legend!$B$71, IF(J115=[3]Legend!$A$72, [3]Legend!$B$72, IF(J115=[3]Legend!$A$73, [3]Legend!$B$73, (IF(J115=[3]Legend!$A$74, [3]Legend!$B$74, IF(J115=[3]Legend!$A$75, [3]Legend!$B$75, "")))))))))))</f>
        <v>120</v>
      </c>
      <c r="L115" s="5">
        <v>120</v>
      </c>
      <c r="M115" s="5">
        <v>2</v>
      </c>
      <c r="N115" s="5" t="s">
        <v>30</v>
      </c>
      <c r="O115" s="5" t="s">
        <v>98</v>
      </c>
    </row>
    <row r="116" spans="1:15" ht="14" customHeight="1" x14ac:dyDescent="0.45">
      <c r="A116" s="8">
        <v>45568</v>
      </c>
      <c r="B116" s="9" t="s">
        <v>24</v>
      </c>
      <c r="C116" s="9" t="s">
        <v>93</v>
      </c>
      <c r="D116" s="9">
        <v>3</v>
      </c>
      <c r="E116" s="9">
        <v>9</v>
      </c>
      <c r="F116" s="9">
        <v>2</v>
      </c>
      <c r="G116" s="10">
        <v>45699</v>
      </c>
      <c r="H116" s="9" t="s">
        <v>91</v>
      </c>
      <c r="I116" s="9">
        <v>4</v>
      </c>
      <c r="J116" s="9" t="s">
        <v>26</v>
      </c>
      <c r="K116" s="6">
        <f>IF(J116=[10]Legend!$A$67,[10]Legend!$B$67,(IF(J116=[10]Legend!$A$68,[10]Legend!$B$68,IF(J116=[10]Legend!$A$69, [10]Legend!$B$69, IF(J116=[10]Legend!$A$70, [10]Legend!$B$70, IF(J116=[10]Legend!$A$71, [10]Legend!$B$71, IF(J116=[10]Legend!$A$72, [10]Legend!$B$72, IF(J116=[10]Legend!$A$73, [10]Legend!$B$73, (IF(J116=[10]Legend!$A$74, [10]Legend!$B$74, IF(J116=[10]Legend!$A$75, [10]Legend!$B$75, "")))))))))))</f>
        <v>3</v>
      </c>
      <c r="L116" s="5">
        <v>3</v>
      </c>
      <c r="M116" s="5">
        <v>0</v>
      </c>
      <c r="N116" s="5"/>
      <c r="O116" s="5" t="s">
        <v>139</v>
      </c>
    </row>
    <row r="117" spans="1:15" ht="14" customHeight="1" x14ac:dyDescent="0.45">
      <c r="A117" s="11">
        <v>45568</v>
      </c>
      <c r="B117" s="12" t="s">
        <v>24</v>
      </c>
      <c r="C117" s="12" t="s">
        <v>93</v>
      </c>
      <c r="D117" s="12">
        <v>3</v>
      </c>
      <c r="E117" s="12">
        <v>9</v>
      </c>
      <c r="F117" s="12">
        <v>2</v>
      </c>
      <c r="G117" s="13">
        <v>45699</v>
      </c>
      <c r="H117" s="12" t="s">
        <v>91</v>
      </c>
      <c r="I117" s="12">
        <v>4</v>
      </c>
      <c r="J117" s="12" t="s">
        <v>28</v>
      </c>
      <c r="K117" s="6">
        <f>IF(J117=[10]Legend!$A$67,[10]Legend!$B$67,(IF(J117=[10]Legend!$A$68,[10]Legend!$B$68,IF(J117=[10]Legend!$A$69, [10]Legend!$B$69, IF(J117=[10]Legend!$A$70, [10]Legend!$B$70, IF(J117=[10]Legend!$A$71, [10]Legend!$B$71, IF(J117=[10]Legend!$A$72, [10]Legend!$B$72, IF(J117=[10]Legend!$A$73, [10]Legend!$B$73, (IF(J117=[10]Legend!$A$74, [10]Legend!$B$74, IF(J117=[10]Legend!$A$75, [10]Legend!$B$75, "")))))))))))</f>
        <v>120</v>
      </c>
      <c r="L117" s="5">
        <v>120</v>
      </c>
      <c r="M117" s="5">
        <v>5</v>
      </c>
      <c r="N117" s="5" t="s">
        <v>23</v>
      </c>
      <c r="O117" s="5" t="s">
        <v>143</v>
      </c>
    </row>
    <row r="118" spans="1:15" ht="14" customHeight="1" x14ac:dyDescent="0.45">
      <c r="A118" s="7">
        <v>45568</v>
      </c>
      <c r="B118" s="16" t="s">
        <v>24</v>
      </c>
      <c r="C118" s="16" t="s">
        <v>93</v>
      </c>
      <c r="D118" s="16">
        <v>3</v>
      </c>
      <c r="E118" s="16">
        <v>10</v>
      </c>
      <c r="F118" s="16">
        <v>2</v>
      </c>
      <c r="G118" s="18">
        <v>45712</v>
      </c>
      <c r="H118" s="16" t="s">
        <v>91</v>
      </c>
      <c r="I118" s="16">
        <v>4</v>
      </c>
      <c r="J118" s="16" t="s">
        <v>26</v>
      </c>
      <c r="K118" s="6">
        <f>IF(J118=[3]Legend!$A$67,[3]Legend!$B$67,(IF(J118=[3]Legend!$A$68,[3]Legend!$B$68,IF(J118=[3]Legend!$A$69, [3]Legend!$B$69, IF(J118=[3]Legend!$A$70, [3]Legend!$B$70, IF(J118=[3]Legend!$A$71, [3]Legend!$B$71, IF(J118=[3]Legend!$A$72, [3]Legend!$B$72, IF(J118=[3]Legend!$A$73, [3]Legend!$B$73, (IF(J118=[3]Legend!$A$74, [3]Legend!$B$74, IF(J118=[3]Legend!$A$75, [3]Legend!$B$75, "")))))))))))</f>
        <v>3</v>
      </c>
      <c r="L118" s="5">
        <v>3</v>
      </c>
      <c r="M118" s="5">
        <v>0</v>
      </c>
      <c r="N118" s="5"/>
      <c r="O118" s="5" t="s">
        <v>94</v>
      </c>
    </row>
    <row r="119" spans="1:15" ht="14" customHeight="1" x14ac:dyDescent="0.45">
      <c r="A119" s="27">
        <v>45568</v>
      </c>
      <c r="B119" s="28" t="s">
        <v>24</v>
      </c>
      <c r="C119" s="28" t="s">
        <v>93</v>
      </c>
      <c r="D119" s="28">
        <v>3</v>
      </c>
      <c r="E119" s="28">
        <v>10</v>
      </c>
      <c r="F119" s="28">
        <v>2</v>
      </c>
      <c r="G119" s="29">
        <v>45712</v>
      </c>
      <c r="H119" s="28" t="s">
        <v>91</v>
      </c>
      <c r="I119" s="28">
        <v>4</v>
      </c>
      <c r="J119" s="28" t="s">
        <v>28</v>
      </c>
      <c r="K119" s="6">
        <f>IF(J119=[3]Legend!$A$67,[3]Legend!$B$67,(IF(J119=[3]Legend!$A$68,[3]Legend!$B$68,IF(J119=[3]Legend!$A$69, [3]Legend!$B$69, IF(J119=[3]Legend!$A$70, [3]Legend!$B$70, IF(J119=[3]Legend!$A$71, [3]Legend!$B$71, IF(J119=[3]Legend!$A$72, [3]Legend!$B$72, IF(J119=[3]Legend!$A$73, [3]Legend!$B$73, (IF(J119=[3]Legend!$A$74, [3]Legend!$B$74, IF(J119=[3]Legend!$A$75, [3]Legend!$B$75, "")))))))))))</f>
        <v>120</v>
      </c>
      <c r="L119" s="5">
        <v>120</v>
      </c>
      <c r="M119" s="5">
        <v>0</v>
      </c>
      <c r="N119" s="5"/>
      <c r="O119" s="5" t="s">
        <v>94</v>
      </c>
    </row>
    <row r="120" spans="1:15" ht="14" customHeight="1" x14ac:dyDescent="0.45">
      <c r="A120" s="7">
        <v>45568</v>
      </c>
      <c r="B120" s="16" t="s">
        <v>24</v>
      </c>
      <c r="C120" s="16" t="s">
        <v>93</v>
      </c>
      <c r="D120" s="16">
        <v>3</v>
      </c>
      <c r="E120" s="16">
        <v>10</v>
      </c>
      <c r="F120" s="16">
        <v>1</v>
      </c>
      <c r="G120" s="18">
        <v>45713</v>
      </c>
      <c r="H120" s="16" t="s">
        <v>91</v>
      </c>
      <c r="I120" s="16">
        <v>4</v>
      </c>
      <c r="J120" s="16" t="s">
        <v>26</v>
      </c>
      <c r="K120" s="6">
        <f>IF(J120=[3]Legend!$A$67,[3]Legend!$B$67,(IF(J120=[3]Legend!$A$68,[3]Legend!$B$68,IF(J120=[3]Legend!$A$69, [3]Legend!$B$69, IF(J120=[3]Legend!$A$70, [3]Legend!$B$70, IF(J120=[3]Legend!$A$71, [3]Legend!$B$71, IF(J120=[3]Legend!$A$72, [3]Legend!$B$72, IF(J120=[3]Legend!$A$73, [3]Legend!$B$73, (IF(J120=[3]Legend!$A$74, [3]Legend!$B$74, IF(J120=[3]Legend!$A$75, [3]Legend!$B$75, "")))))))))))</f>
        <v>3</v>
      </c>
      <c r="L120" s="5">
        <v>3</v>
      </c>
      <c r="M120" s="5">
        <v>0</v>
      </c>
      <c r="N120" s="5"/>
      <c r="O120" s="5"/>
    </row>
    <row r="121" spans="1:15" ht="14" customHeight="1" x14ac:dyDescent="0.45">
      <c r="A121" s="27">
        <v>45568</v>
      </c>
      <c r="B121" s="28" t="s">
        <v>24</v>
      </c>
      <c r="C121" s="28" t="s">
        <v>93</v>
      </c>
      <c r="D121" s="28">
        <v>3</v>
      </c>
      <c r="E121" s="28">
        <v>10</v>
      </c>
      <c r="F121" s="28">
        <v>1</v>
      </c>
      <c r="G121" s="29">
        <v>45713</v>
      </c>
      <c r="H121" s="28" t="s">
        <v>91</v>
      </c>
      <c r="I121" s="28">
        <v>4</v>
      </c>
      <c r="J121" s="28" t="s">
        <v>28</v>
      </c>
      <c r="K121" s="6">
        <f>IF(J121=[3]Legend!$A$67,[3]Legend!$B$67,(IF(J121=[3]Legend!$A$68,[3]Legend!$B$68,IF(J121=[3]Legend!$A$69, [3]Legend!$B$69, IF(J121=[3]Legend!$A$70, [3]Legend!$B$70, IF(J121=[3]Legend!$A$71, [3]Legend!$B$71, IF(J121=[3]Legend!$A$72, [3]Legend!$B$72, IF(J121=[3]Legend!$A$73, [3]Legend!$B$73, (IF(J121=[3]Legend!$A$74, [3]Legend!$B$74, IF(J121=[3]Legend!$A$75, [3]Legend!$B$75, "")))))))))))</f>
        <v>120</v>
      </c>
      <c r="L121" s="5">
        <v>120</v>
      </c>
      <c r="M121" s="5">
        <v>0</v>
      </c>
      <c r="N121" s="5"/>
      <c r="O121" s="5"/>
    </row>
  </sheetData>
  <sortState xmlns:xlrd2="http://schemas.microsoft.com/office/spreadsheetml/2017/richdata2" ref="A2:O124">
    <sortCondition ref="D1:D1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9378-EE44-452D-9F91-17E2772B3F94}">
  <dimension ref="A1:R61"/>
  <sheetViews>
    <sheetView workbookViewId="0">
      <selection activeCell="O61" sqref="A1:O61"/>
    </sheetView>
  </sheetViews>
  <sheetFormatPr baseColWidth="10" defaultRowHeight="14.25" x14ac:dyDescent="0.45"/>
  <sheetData>
    <row r="1" spans="1:18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8" ht="14" customHeight="1" x14ac:dyDescent="0.45">
      <c r="A2" s="7">
        <v>45553</v>
      </c>
      <c r="B2" s="5" t="s">
        <v>36</v>
      </c>
      <c r="C2" s="5" t="s">
        <v>37</v>
      </c>
      <c r="D2" s="5">
        <v>1</v>
      </c>
      <c r="E2" s="5">
        <v>1</v>
      </c>
      <c r="F2" s="5">
        <v>1</v>
      </c>
      <c r="G2" s="7">
        <v>45584</v>
      </c>
      <c r="H2" s="5" t="s">
        <v>17</v>
      </c>
      <c r="I2" s="5">
        <v>6</v>
      </c>
      <c r="J2" s="5" t="s">
        <v>38</v>
      </c>
      <c r="K2" s="6">
        <f>IF(J2=[1]Legend!$A$66,[1]Legend!$B$66,(IF(J2=[1]Legend!$A$67,[1]Legend!$B$67,IF(J2=[1]Legend!$A$68, [1]Legend!$B$68, IF(J2=[1]Legend!$A$69, [1]Legend!$B$69, IF(J2=[1]Legend!$A$70, [1]Legend!$B$70, IF(J2=[1]Legend!$A$71, [1]Legend!$B$71, IF(J2=[1]Legend!$A$72, [1]Legend!$B$72, (IF(J2=[1]Legend!$A$73, [1]Legend!$B$73, IF(J2=[1]Legend!$A$74, [1]Legend!$B$74, "")))))))))))</f>
        <v>180</v>
      </c>
      <c r="L2" s="5">
        <v>179</v>
      </c>
      <c r="M2" s="5"/>
      <c r="N2" s="5"/>
      <c r="O2" s="5" t="s">
        <v>39</v>
      </c>
    </row>
    <row r="3" spans="1:18" ht="14" customHeight="1" x14ac:dyDescent="0.45">
      <c r="A3" s="7">
        <v>45553</v>
      </c>
      <c r="B3" s="5" t="s">
        <v>36</v>
      </c>
      <c r="C3" s="5" t="s">
        <v>37</v>
      </c>
      <c r="D3" s="5">
        <v>1</v>
      </c>
      <c r="E3" s="5">
        <v>1</v>
      </c>
      <c r="F3" s="5">
        <v>2</v>
      </c>
      <c r="G3" s="7">
        <v>45584</v>
      </c>
      <c r="H3" s="5" t="s">
        <v>17</v>
      </c>
      <c r="I3" s="5">
        <v>6</v>
      </c>
      <c r="J3" s="5" t="s">
        <v>38</v>
      </c>
      <c r="K3" s="6">
        <f>IF(J3=[1]Legend!$A$66,[1]Legend!$B$66,(IF(J3=[1]Legend!$A$67,[1]Legend!$B$67,IF(J3=[1]Legend!$A$68, [1]Legend!$B$68, IF(J3=[1]Legend!$A$69, [1]Legend!$B$69, IF(J3=[1]Legend!$A$70, [1]Legend!$B$70, IF(J3=[1]Legend!$A$71, [1]Legend!$B$71, IF(J3=[1]Legend!$A$72, [1]Legend!$B$72, (IF(J3=[1]Legend!$A$73, [1]Legend!$B$73, IF(J3=[1]Legend!$A$74, [1]Legend!$B$74, "")))))))))))</f>
        <v>180</v>
      </c>
      <c r="L3" s="5">
        <v>177</v>
      </c>
      <c r="M3" s="5"/>
      <c r="N3" s="5"/>
      <c r="O3" s="5" t="s">
        <v>40</v>
      </c>
      <c r="R3" s="30" t="s">
        <v>175</v>
      </c>
    </row>
    <row r="4" spans="1:18" ht="14" customHeight="1" x14ac:dyDescent="0.45">
      <c r="A4" s="7">
        <v>45553</v>
      </c>
      <c r="B4" s="5" t="s">
        <v>36</v>
      </c>
      <c r="C4" s="5" t="s">
        <v>37</v>
      </c>
      <c r="D4" s="5">
        <v>1</v>
      </c>
      <c r="E4" s="5">
        <v>2</v>
      </c>
      <c r="F4" s="5">
        <v>1</v>
      </c>
      <c r="G4" s="7">
        <v>45584</v>
      </c>
      <c r="H4" s="5" t="s">
        <v>17</v>
      </c>
      <c r="I4" s="5">
        <v>6</v>
      </c>
      <c r="J4" s="5" t="s">
        <v>38</v>
      </c>
      <c r="K4" s="6">
        <f>IF(J4=[1]Legend!$A$66,[1]Legend!$B$66,(IF(J4=[1]Legend!$A$67,[1]Legend!$B$67,IF(J4=[1]Legend!$A$68, [1]Legend!$B$68, IF(J4=[1]Legend!$A$69, [1]Legend!$B$69, IF(J4=[1]Legend!$A$70, [1]Legend!$B$70, IF(J4=[1]Legend!$A$71, [1]Legend!$B$71, IF(J4=[1]Legend!$A$72, [1]Legend!$B$72, (IF(J4=[1]Legend!$A$73, [1]Legend!$B$73, IF(J4=[1]Legend!$A$74, [1]Legend!$B$74, "")))))))))))</f>
        <v>180</v>
      </c>
      <c r="L4" s="5">
        <v>171</v>
      </c>
      <c r="M4" s="5">
        <v>4</v>
      </c>
      <c r="N4" s="5" t="s">
        <v>21</v>
      </c>
      <c r="O4" s="5" t="s">
        <v>41</v>
      </c>
      <c r="R4" s="30" t="s">
        <v>174</v>
      </c>
    </row>
    <row r="5" spans="1:18" ht="14" customHeight="1" x14ac:dyDescent="0.45">
      <c r="A5" s="7">
        <v>45553</v>
      </c>
      <c r="B5" s="5" t="s">
        <v>36</v>
      </c>
      <c r="C5" s="5" t="s">
        <v>37</v>
      </c>
      <c r="D5" s="5">
        <v>1</v>
      </c>
      <c r="E5" s="5">
        <v>2</v>
      </c>
      <c r="F5" s="5">
        <v>2</v>
      </c>
      <c r="G5" s="7">
        <v>45584</v>
      </c>
      <c r="H5" s="5" t="s">
        <v>17</v>
      </c>
      <c r="I5" s="5">
        <v>6</v>
      </c>
      <c r="J5" s="5" t="s">
        <v>38</v>
      </c>
      <c r="K5" s="6">
        <f>IF(J5=[1]Legend!$A$66,[1]Legend!$B$66,(IF(J5=[1]Legend!$A$67,[1]Legend!$B$67,IF(J5=[1]Legend!$A$68, [1]Legend!$B$68, IF(J5=[1]Legend!$A$69, [1]Legend!$B$69, IF(J5=[1]Legend!$A$70, [1]Legend!$B$70, IF(J5=[1]Legend!$A$71, [1]Legend!$B$71, IF(J5=[1]Legend!$A$72, [1]Legend!$B$72, (IF(J5=[1]Legend!$A$73, [1]Legend!$B$73, IF(J5=[1]Legend!$A$74, [1]Legend!$B$74, "")))))))))))</f>
        <v>180</v>
      </c>
      <c r="L5" s="5">
        <v>177</v>
      </c>
      <c r="M5" s="5">
        <v>1</v>
      </c>
      <c r="N5" s="5" t="s">
        <v>30</v>
      </c>
      <c r="O5" s="5" t="s">
        <v>42</v>
      </c>
    </row>
    <row r="6" spans="1:18" ht="14" customHeight="1" x14ac:dyDescent="0.45">
      <c r="A6" s="7">
        <v>45553</v>
      </c>
      <c r="B6" s="5" t="s">
        <v>36</v>
      </c>
      <c r="C6" s="5" t="s">
        <v>37</v>
      </c>
      <c r="D6" s="5">
        <v>1</v>
      </c>
      <c r="E6" s="5">
        <v>7</v>
      </c>
      <c r="F6" s="5">
        <v>1</v>
      </c>
      <c r="G6" s="7">
        <v>45584</v>
      </c>
      <c r="H6" s="5" t="s">
        <v>17</v>
      </c>
      <c r="I6" s="5">
        <v>6</v>
      </c>
      <c r="J6" s="5" t="s">
        <v>38</v>
      </c>
      <c r="K6" s="6">
        <f>IF(J6=[1]Legend!$A$66,[1]Legend!$B$66,(IF(J6=[1]Legend!$A$67,[1]Legend!$B$67,IF(J6=[1]Legend!$A$68, [1]Legend!$B$68, IF(J6=[1]Legend!$A$69, [1]Legend!$B$69, IF(J6=[1]Legend!$A$70, [1]Legend!$B$70, IF(J6=[1]Legend!$A$71, [1]Legend!$B$71, IF(J6=[1]Legend!$A$72, [1]Legend!$B$72, (IF(J6=[1]Legend!$A$73, [1]Legend!$B$73, IF(J6=[1]Legend!$A$74, [1]Legend!$B$74, "")))))))))))</f>
        <v>180</v>
      </c>
      <c r="L6" s="5">
        <v>180</v>
      </c>
      <c r="M6" s="5">
        <v>2</v>
      </c>
      <c r="N6" s="5" t="s">
        <v>23</v>
      </c>
      <c r="O6" s="5" t="s">
        <v>41</v>
      </c>
    </row>
    <row r="7" spans="1:18" ht="14" customHeight="1" x14ac:dyDescent="0.45">
      <c r="A7" s="7">
        <v>45553</v>
      </c>
      <c r="B7" s="5" t="s">
        <v>36</v>
      </c>
      <c r="C7" s="5" t="s">
        <v>37</v>
      </c>
      <c r="D7" s="5">
        <v>1</v>
      </c>
      <c r="E7" s="5">
        <v>7</v>
      </c>
      <c r="F7" s="5">
        <v>2</v>
      </c>
      <c r="G7" s="7">
        <v>45584</v>
      </c>
      <c r="H7" s="5" t="s">
        <v>17</v>
      </c>
      <c r="I7" s="5">
        <v>6</v>
      </c>
      <c r="J7" s="5" t="s">
        <v>38</v>
      </c>
      <c r="K7" s="6">
        <f>IF(J7=[1]Legend!$A$66,[1]Legend!$B$66,(IF(J7=[1]Legend!$A$67,[1]Legend!$B$67,IF(J7=[1]Legend!$A$68, [1]Legend!$B$68, IF(J7=[1]Legend!$A$69, [1]Legend!$B$69, IF(J7=[1]Legend!$A$70, [1]Legend!$B$70, IF(J7=[1]Legend!$A$71, [1]Legend!$B$71, IF(J7=[1]Legend!$A$72, [1]Legend!$B$72, (IF(J7=[1]Legend!$A$73, [1]Legend!$B$73, IF(J7=[1]Legend!$A$74, [1]Legend!$B$74, "")))))))))))</f>
        <v>180</v>
      </c>
      <c r="L7" s="5">
        <v>179</v>
      </c>
      <c r="M7" s="5">
        <v>1</v>
      </c>
      <c r="N7" s="5" t="s">
        <v>21</v>
      </c>
      <c r="O7" s="5" t="s">
        <v>39</v>
      </c>
    </row>
    <row r="8" spans="1:18" ht="14" customHeight="1" x14ac:dyDescent="0.45">
      <c r="A8" s="7">
        <v>45553</v>
      </c>
      <c r="B8" s="5" t="s">
        <v>36</v>
      </c>
      <c r="C8" s="5" t="s">
        <v>37</v>
      </c>
      <c r="D8" s="5">
        <v>1</v>
      </c>
      <c r="E8" s="5">
        <v>8</v>
      </c>
      <c r="F8" s="5">
        <v>1</v>
      </c>
      <c r="G8" s="7">
        <v>45584</v>
      </c>
      <c r="H8" s="5" t="s">
        <v>17</v>
      </c>
      <c r="I8" s="5">
        <v>6</v>
      </c>
      <c r="J8" s="5" t="s">
        <v>38</v>
      </c>
      <c r="K8" s="6">
        <f>IF(J8=[1]Legend!$A$66,[1]Legend!$B$66,(IF(J8=[1]Legend!$A$67,[1]Legend!$B$67,IF(J8=[1]Legend!$A$68, [1]Legend!$B$68, IF(J8=[1]Legend!$A$69, [1]Legend!$B$69, IF(J8=[1]Legend!$A$70, [1]Legend!$B$70, IF(J8=[1]Legend!$A$71, [1]Legend!$B$71, IF(J8=[1]Legend!$A$72, [1]Legend!$B$72, (IF(J8=[1]Legend!$A$73, [1]Legend!$B$73, IF(J8=[1]Legend!$A$74, [1]Legend!$B$74, "")))))))))))</f>
        <v>180</v>
      </c>
      <c r="L8" s="5">
        <v>180</v>
      </c>
      <c r="M8" s="5"/>
      <c r="N8" s="5"/>
      <c r="O8" s="5"/>
    </row>
    <row r="9" spans="1:18" ht="14" customHeight="1" x14ac:dyDescent="0.45">
      <c r="A9" s="7">
        <v>45553</v>
      </c>
      <c r="B9" s="5" t="s">
        <v>36</v>
      </c>
      <c r="C9" s="5" t="s">
        <v>37</v>
      </c>
      <c r="D9" s="5">
        <v>1</v>
      </c>
      <c r="E9" s="5">
        <v>8</v>
      </c>
      <c r="F9" s="5">
        <v>2</v>
      </c>
      <c r="G9" s="7">
        <v>45584</v>
      </c>
      <c r="H9" s="5" t="s">
        <v>17</v>
      </c>
      <c r="I9" s="5">
        <v>6</v>
      </c>
      <c r="J9" s="5" t="s">
        <v>38</v>
      </c>
      <c r="K9" s="6">
        <f>IF(J9=[1]Legend!$A$66,[1]Legend!$B$66,(IF(J9=[1]Legend!$A$67,[1]Legend!$B$67,IF(J9=[1]Legend!$A$68, [1]Legend!$B$68, IF(J9=[1]Legend!$A$69, [1]Legend!$B$69, IF(J9=[1]Legend!$A$70, [1]Legend!$B$70, IF(J9=[1]Legend!$A$71, [1]Legend!$B$71, IF(J9=[1]Legend!$A$72, [1]Legend!$B$72, (IF(J9=[1]Legend!$A$73, [1]Legend!$B$73, IF(J9=[1]Legend!$A$74, [1]Legend!$B$74, "")))))))))))</f>
        <v>180</v>
      </c>
      <c r="L9" s="5">
        <v>179</v>
      </c>
      <c r="M9" s="5"/>
      <c r="N9" s="5"/>
      <c r="O9" s="5"/>
    </row>
    <row r="10" spans="1:18" ht="14" customHeight="1" x14ac:dyDescent="0.45">
      <c r="A10" s="7">
        <v>45553</v>
      </c>
      <c r="B10" s="5" t="s">
        <v>36</v>
      </c>
      <c r="C10" s="5" t="s">
        <v>37</v>
      </c>
      <c r="D10" s="5">
        <v>1</v>
      </c>
      <c r="E10" s="5">
        <v>9</v>
      </c>
      <c r="F10" s="5">
        <v>1</v>
      </c>
      <c r="G10" s="7">
        <v>45584</v>
      </c>
      <c r="H10" s="5" t="s">
        <v>17</v>
      </c>
      <c r="I10" s="5">
        <v>6</v>
      </c>
      <c r="J10" s="5" t="s">
        <v>38</v>
      </c>
      <c r="K10" s="6">
        <f>IF(J10=[1]Legend!$A$66,[1]Legend!$B$66,(IF(J10=[1]Legend!$A$67,[1]Legend!$B$67,IF(J10=[1]Legend!$A$68, [1]Legend!$B$68, IF(J10=[1]Legend!$A$69, [1]Legend!$B$69, IF(J10=[1]Legend!$A$70, [1]Legend!$B$70, IF(J10=[1]Legend!$A$71, [1]Legend!$B$71, IF(J10=[1]Legend!$A$72, [1]Legend!$B$72, (IF(J10=[1]Legend!$A$73, [1]Legend!$B$73, IF(J10=[1]Legend!$A$74, [1]Legend!$B$74, "")))))))))))</f>
        <v>180</v>
      </c>
      <c r="L10" s="5">
        <v>180</v>
      </c>
      <c r="M10" s="5"/>
      <c r="N10" s="5"/>
      <c r="O10" s="5"/>
    </row>
    <row r="11" spans="1:18" ht="14" customHeight="1" x14ac:dyDescent="0.45">
      <c r="A11" s="7">
        <v>45553</v>
      </c>
      <c r="B11" s="5" t="s">
        <v>36</v>
      </c>
      <c r="C11" s="5" t="s">
        <v>37</v>
      </c>
      <c r="D11" s="5">
        <v>1</v>
      </c>
      <c r="E11" s="5">
        <v>9</v>
      </c>
      <c r="F11" s="5">
        <v>2</v>
      </c>
      <c r="G11" s="7">
        <v>45584</v>
      </c>
      <c r="H11" s="5" t="s">
        <v>17</v>
      </c>
      <c r="I11" s="5">
        <v>6</v>
      </c>
      <c r="J11" s="5" t="s">
        <v>38</v>
      </c>
      <c r="K11" s="6">
        <f>IF(J11=[1]Legend!$A$66,[1]Legend!$B$66,(IF(J11=[1]Legend!$A$67,[1]Legend!$B$67,IF(J11=[1]Legend!$A$68, [1]Legend!$B$68, IF(J11=[1]Legend!$A$69, [1]Legend!$B$69, IF(J11=[1]Legend!$A$70, [1]Legend!$B$70, IF(J11=[1]Legend!$A$71, [1]Legend!$B$71, IF(J11=[1]Legend!$A$72, [1]Legend!$B$72, (IF(J11=[1]Legend!$A$73, [1]Legend!$B$73, IF(J11=[1]Legend!$A$74, [1]Legend!$B$74, "")))))))))))</f>
        <v>180</v>
      </c>
      <c r="L11" s="5">
        <v>180</v>
      </c>
      <c r="M11" s="5">
        <v>1</v>
      </c>
      <c r="N11" s="5" t="s">
        <v>21</v>
      </c>
      <c r="O11" s="5" t="s">
        <v>39</v>
      </c>
    </row>
    <row r="12" spans="1:18" ht="14" customHeight="1" x14ac:dyDescent="0.45">
      <c r="A12" s="7">
        <v>45553</v>
      </c>
      <c r="B12" s="5" t="s">
        <v>36</v>
      </c>
      <c r="C12" s="5" t="s">
        <v>37</v>
      </c>
      <c r="D12" s="5">
        <v>1</v>
      </c>
      <c r="E12" s="5">
        <v>10</v>
      </c>
      <c r="F12" s="5">
        <v>1</v>
      </c>
      <c r="G12" s="7">
        <v>45584</v>
      </c>
      <c r="H12" s="5" t="s">
        <v>17</v>
      </c>
      <c r="I12" s="5">
        <v>6</v>
      </c>
      <c r="J12" s="5" t="s">
        <v>38</v>
      </c>
      <c r="K12" s="6">
        <f>IF(J12=[1]Legend!$A$66,[1]Legend!$B$66,(IF(J12=[1]Legend!$A$67,[1]Legend!$B$67,IF(J12=[1]Legend!$A$68, [1]Legend!$B$68, IF(J12=[1]Legend!$A$69, [1]Legend!$B$69, IF(J12=[1]Legend!$A$70, [1]Legend!$B$70, IF(J12=[1]Legend!$A$71, [1]Legend!$B$71, IF(J12=[1]Legend!$A$72, [1]Legend!$B$72, (IF(J12=[1]Legend!$A$73, [1]Legend!$B$73, IF(J12=[1]Legend!$A$74, [1]Legend!$B$74, "")))))))))))</f>
        <v>180</v>
      </c>
      <c r="L12" s="5">
        <v>180</v>
      </c>
      <c r="M12" s="5"/>
      <c r="N12" s="5"/>
      <c r="O12" s="5" t="s">
        <v>41</v>
      </c>
    </row>
    <row r="13" spans="1:18" ht="14" customHeight="1" x14ac:dyDescent="0.45">
      <c r="A13" s="7">
        <v>45553</v>
      </c>
      <c r="B13" s="5" t="s">
        <v>36</v>
      </c>
      <c r="C13" s="5" t="s">
        <v>37</v>
      </c>
      <c r="D13" s="5">
        <v>1</v>
      </c>
      <c r="E13" s="5">
        <v>10</v>
      </c>
      <c r="F13" s="5">
        <v>2</v>
      </c>
      <c r="G13" s="7">
        <v>45584</v>
      </c>
      <c r="H13" s="5" t="s">
        <v>17</v>
      </c>
      <c r="I13" s="5">
        <v>6</v>
      </c>
      <c r="J13" s="5" t="s">
        <v>38</v>
      </c>
      <c r="K13" s="6">
        <f>IF(J13=[1]Legend!$A$66,[1]Legend!$B$66,(IF(J13=[1]Legend!$A$67,[1]Legend!$B$67,IF(J13=[1]Legend!$A$68, [1]Legend!$B$68, IF(J13=[1]Legend!$A$69, [1]Legend!$B$69, IF(J13=[1]Legend!$A$70, [1]Legend!$B$70, IF(J13=[1]Legend!$A$71, [1]Legend!$B$71, IF(J13=[1]Legend!$A$72, [1]Legend!$B$72, (IF(J13=[1]Legend!$A$73, [1]Legend!$B$73, IF(J13=[1]Legend!$A$74, [1]Legend!$B$74, "")))))))))))</f>
        <v>180</v>
      </c>
      <c r="L13" s="5">
        <v>180</v>
      </c>
      <c r="M13" s="5"/>
      <c r="N13" s="5"/>
      <c r="O13" s="5" t="s">
        <v>39</v>
      </c>
    </row>
    <row r="14" spans="1:18" ht="14" customHeight="1" x14ac:dyDescent="0.45">
      <c r="A14" s="7">
        <v>9028</v>
      </c>
      <c r="B14" s="5" t="s">
        <v>36</v>
      </c>
      <c r="C14" s="5" t="s">
        <v>37</v>
      </c>
      <c r="D14" s="20">
        <v>1</v>
      </c>
      <c r="E14" s="5">
        <v>3</v>
      </c>
      <c r="F14" s="5">
        <v>1</v>
      </c>
      <c r="G14" s="7">
        <v>9043</v>
      </c>
      <c r="H14" s="5" t="s">
        <v>86</v>
      </c>
      <c r="I14" s="5">
        <v>6</v>
      </c>
      <c r="J14" s="5" t="s">
        <v>38</v>
      </c>
      <c r="K14" s="6">
        <f>IF(J14=[15]Legend!$A$66,[15]Legend!$B$66,(IF(J14=[15]Legend!$A$67,[15]Legend!$B$67,IF(J14=[15]Legend!$A$68, [15]Legend!$B$68, IF(J14=[15]Legend!$A$69, [15]Legend!$B$69, IF(J14=[15]Legend!$A$70, [15]Legend!$B$70, IF(J14=[15]Legend!$A$71, [15]Legend!$B$71, IF(J14=[15]Legend!$A$72, [15]Legend!$B$72, (IF(J14=[15]Legend!$A$73, [15]Legend!$B$73, IF(J14=[15]Legend!$A$74, [15]Legend!$B$74, "")))))))))))</f>
        <v>180</v>
      </c>
      <c r="L14" s="5">
        <v>179</v>
      </c>
      <c r="M14" s="5"/>
      <c r="N14" s="5"/>
      <c r="O14" s="5" t="s">
        <v>87</v>
      </c>
    </row>
    <row r="15" spans="1:18" ht="14" customHeight="1" x14ac:dyDescent="0.45">
      <c r="A15" s="7">
        <v>9028</v>
      </c>
      <c r="B15" s="5" t="s">
        <v>36</v>
      </c>
      <c r="C15" s="5" t="s">
        <v>37</v>
      </c>
      <c r="D15" s="20">
        <v>1</v>
      </c>
      <c r="E15" s="5">
        <v>3</v>
      </c>
      <c r="F15" s="5">
        <v>2</v>
      </c>
      <c r="G15" s="7">
        <v>9043</v>
      </c>
      <c r="H15" s="5" t="s">
        <v>86</v>
      </c>
      <c r="I15" s="5">
        <v>6</v>
      </c>
      <c r="J15" s="5" t="s">
        <v>38</v>
      </c>
      <c r="K15" s="6">
        <f>IF(J15=[15]Legend!$A$66,[15]Legend!$B$66,(IF(J15=[15]Legend!$A$67,[15]Legend!$B$67,IF(J15=[15]Legend!$A$68, [15]Legend!$B$68, IF(J15=[15]Legend!$A$69, [15]Legend!$B$69, IF(J15=[15]Legend!$A$70, [15]Legend!$B$70, IF(J15=[15]Legend!$A$71, [15]Legend!$B$71, IF(J15=[15]Legend!$A$72, [15]Legend!$B$72, (IF(J15=[15]Legend!$A$73, [15]Legend!$B$73, IF(J15=[15]Legend!$A$74, [15]Legend!$B$74, "")))))))))))</f>
        <v>180</v>
      </c>
      <c r="L15" s="5">
        <v>180</v>
      </c>
      <c r="M15" s="5">
        <v>1</v>
      </c>
      <c r="N15" s="5" t="s">
        <v>21</v>
      </c>
      <c r="O15" s="5"/>
    </row>
    <row r="16" spans="1:18" ht="14" customHeight="1" x14ac:dyDescent="0.45">
      <c r="A16" s="7">
        <v>9028</v>
      </c>
      <c r="B16" s="5" t="s">
        <v>36</v>
      </c>
      <c r="C16" s="5" t="s">
        <v>37</v>
      </c>
      <c r="D16" s="20">
        <v>1</v>
      </c>
      <c r="E16" s="5">
        <v>4</v>
      </c>
      <c r="F16" s="5">
        <v>1</v>
      </c>
      <c r="G16" s="7">
        <v>9043</v>
      </c>
      <c r="H16" s="5" t="s">
        <v>86</v>
      </c>
      <c r="I16" s="5">
        <v>6</v>
      </c>
      <c r="J16" s="5" t="s">
        <v>38</v>
      </c>
      <c r="K16" s="6">
        <f>IF(J16=[15]Legend!$A$66,[15]Legend!$B$66,(IF(J16=[15]Legend!$A$67,[15]Legend!$B$67,IF(J16=[15]Legend!$A$68, [15]Legend!$B$68, IF(J16=[15]Legend!$A$69, [15]Legend!$B$69, IF(J16=[15]Legend!$A$70, [15]Legend!$B$70, IF(J16=[15]Legend!$A$71, [15]Legend!$B$71, IF(J16=[15]Legend!$A$72, [15]Legend!$B$72, (IF(J16=[15]Legend!$A$73, [15]Legend!$B$73, IF(J16=[15]Legend!$A$74, [15]Legend!$B$74, "")))))))))))</f>
        <v>180</v>
      </c>
      <c r="L16" s="5">
        <v>178</v>
      </c>
      <c r="M16" s="5"/>
      <c r="N16" s="5"/>
      <c r="O16" s="5" t="s">
        <v>164</v>
      </c>
    </row>
    <row r="17" spans="1:15" ht="14" customHeight="1" x14ac:dyDescent="0.45">
      <c r="A17" s="7">
        <v>9028</v>
      </c>
      <c r="B17" s="5" t="s">
        <v>36</v>
      </c>
      <c r="C17" s="5" t="s">
        <v>37</v>
      </c>
      <c r="D17" s="20">
        <v>1</v>
      </c>
      <c r="E17" s="5">
        <v>4</v>
      </c>
      <c r="F17" s="5">
        <v>2</v>
      </c>
      <c r="G17" s="7">
        <v>9043</v>
      </c>
      <c r="H17" s="5" t="s">
        <v>86</v>
      </c>
      <c r="I17" s="5">
        <v>6</v>
      </c>
      <c r="J17" s="5" t="s">
        <v>38</v>
      </c>
      <c r="K17" s="6">
        <f>IF(J17=[15]Legend!$A$66,[15]Legend!$B$66,(IF(J17=[15]Legend!$A$67,[15]Legend!$B$67,IF(J17=[15]Legend!$A$68, [15]Legend!$B$68, IF(J17=[15]Legend!$A$69, [15]Legend!$B$69, IF(J17=[15]Legend!$A$70, [15]Legend!$B$70, IF(J17=[15]Legend!$A$71, [15]Legend!$B$71, IF(J17=[15]Legend!$A$72, [15]Legend!$B$72, (IF(J17=[15]Legend!$A$73, [15]Legend!$B$73, IF(J17=[15]Legend!$A$74, [15]Legend!$B$74, "")))))))))))</f>
        <v>180</v>
      </c>
      <c r="L17" s="5">
        <v>180</v>
      </c>
      <c r="M17" s="5"/>
      <c r="N17" s="5"/>
      <c r="O17" s="5" t="s">
        <v>87</v>
      </c>
    </row>
    <row r="18" spans="1:15" ht="14" customHeight="1" x14ac:dyDescent="0.45">
      <c r="A18" s="7">
        <v>9028</v>
      </c>
      <c r="B18" s="5" t="s">
        <v>36</v>
      </c>
      <c r="C18" s="5" t="s">
        <v>37</v>
      </c>
      <c r="D18" s="20">
        <v>1</v>
      </c>
      <c r="E18" s="5">
        <v>5</v>
      </c>
      <c r="F18" s="5">
        <v>1</v>
      </c>
      <c r="G18" s="7">
        <v>9043</v>
      </c>
      <c r="H18" s="5" t="s">
        <v>86</v>
      </c>
      <c r="I18" s="5">
        <v>6</v>
      </c>
      <c r="J18" s="5" t="s">
        <v>38</v>
      </c>
      <c r="K18" s="6">
        <f>IF(J18=[15]Legend!$A$66,[15]Legend!$B$66,(IF(J18=[15]Legend!$A$67,[15]Legend!$B$67,IF(J18=[15]Legend!$A$68, [15]Legend!$B$68, IF(J18=[15]Legend!$A$69, [15]Legend!$B$69, IF(J18=[15]Legend!$A$70, [15]Legend!$B$70, IF(J18=[15]Legend!$A$71, [15]Legend!$B$71, IF(J18=[15]Legend!$A$72, [15]Legend!$B$72, (IF(J18=[15]Legend!$A$73, [15]Legend!$B$73, IF(J18=[15]Legend!$A$74, [15]Legend!$B$74, "")))))))))))</f>
        <v>180</v>
      </c>
      <c r="L18" s="5">
        <v>179</v>
      </c>
      <c r="M18" s="5"/>
      <c r="N18" s="5"/>
      <c r="O18" s="5" t="s">
        <v>87</v>
      </c>
    </row>
    <row r="19" spans="1:15" ht="14" customHeight="1" x14ac:dyDescent="0.45">
      <c r="A19" s="7">
        <v>9028</v>
      </c>
      <c r="B19" s="5" t="s">
        <v>36</v>
      </c>
      <c r="C19" s="5" t="s">
        <v>37</v>
      </c>
      <c r="D19" s="20">
        <v>1</v>
      </c>
      <c r="E19" s="5">
        <v>5</v>
      </c>
      <c r="F19" s="5">
        <v>2</v>
      </c>
      <c r="G19" s="7">
        <v>9043</v>
      </c>
      <c r="H19" s="5" t="s">
        <v>86</v>
      </c>
      <c r="I19" s="5">
        <v>6</v>
      </c>
      <c r="J19" s="5" t="s">
        <v>38</v>
      </c>
      <c r="K19" s="6">
        <f>IF(J19=[15]Legend!$A$66,[15]Legend!$B$66,(IF(J19=[15]Legend!$A$67,[15]Legend!$B$67,IF(J19=[15]Legend!$A$68, [15]Legend!$B$68, IF(J19=[15]Legend!$A$69, [15]Legend!$B$69, IF(J19=[15]Legend!$A$70, [15]Legend!$B$70, IF(J19=[15]Legend!$A$71, [15]Legend!$B$71, IF(J19=[15]Legend!$A$72, [15]Legend!$B$72, (IF(J19=[15]Legend!$A$73, [15]Legend!$B$73, IF(J19=[15]Legend!$A$74, [15]Legend!$B$74, "")))))))))))</f>
        <v>180</v>
      </c>
      <c r="L19" s="5">
        <v>178</v>
      </c>
      <c r="M19" s="5"/>
      <c r="N19" s="5"/>
      <c r="O19" s="5" t="s">
        <v>87</v>
      </c>
    </row>
    <row r="20" spans="1:15" ht="14" customHeight="1" x14ac:dyDescent="0.45">
      <c r="A20" s="7">
        <v>9028</v>
      </c>
      <c r="B20" s="5" t="s">
        <v>36</v>
      </c>
      <c r="C20" s="5" t="s">
        <v>37</v>
      </c>
      <c r="D20" s="20">
        <v>1</v>
      </c>
      <c r="E20" s="5">
        <v>6</v>
      </c>
      <c r="F20" s="5">
        <v>1</v>
      </c>
      <c r="G20" s="7">
        <v>9043</v>
      </c>
      <c r="H20" s="5" t="s">
        <v>86</v>
      </c>
      <c r="I20" s="5">
        <v>6</v>
      </c>
      <c r="J20" s="5" t="s">
        <v>38</v>
      </c>
      <c r="K20" s="6">
        <f>IF(J20=[15]Legend!$A$66,[15]Legend!$B$66,(IF(J20=[15]Legend!$A$67,[15]Legend!$B$67,IF(J20=[15]Legend!$A$68, [15]Legend!$B$68, IF(J20=[15]Legend!$A$69, [15]Legend!$B$69, IF(J20=[15]Legend!$A$70, [15]Legend!$B$70, IF(J20=[15]Legend!$A$71, [15]Legend!$B$71, IF(J20=[15]Legend!$A$72, [15]Legend!$B$72, (IF(J20=[15]Legend!$A$73, [15]Legend!$B$73, IF(J20=[15]Legend!$A$74, [15]Legend!$B$74, "")))))))))))</f>
        <v>180</v>
      </c>
      <c r="L20" s="5">
        <v>180</v>
      </c>
      <c r="M20" s="5"/>
      <c r="N20" s="5"/>
      <c r="O20" s="5" t="s">
        <v>88</v>
      </c>
    </row>
    <row r="21" spans="1:15" ht="14" customHeight="1" x14ac:dyDescent="0.45">
      <c r="A21" s="7">
        <v>9028</v>
      </c>
      <c r="B21" s="5" t="s">
        <v>36</v>
      </c>
      <c r="C21" s="5" t="s">
        <v>37</v>
      </c>
      <c r="D21" s="20">
        <v>1</v>
      </c>
      <c r="E21" s="5">
        <v>6</v>
      </c>
      <c r="F21" s="5">
        <v>2</v>
      </c>
      <c r="G21" s="7">
        <v>9043</v>
      </c>
      <c r="H21" s="5" t="s">
        <v>86</v>
      </c>
      <c r="I21" s="5">
        <v>6</v>
      </c>
      <c r="J21" s="5" t="s">
        <v>38</v>
      </c>
      <c r="K21" s="6">
        <f>IF(J21=[15]Legend!$A$66,[15]Legend!$B$66,(IF(J21=[15]Legend!$A$67,[15]Legend!$B$67,IF(J21=[15]Legend!$A$68, [15]Legend!$B$68, IF(J21=[15]Legend!$A$69, [15]Legend!$B$69, IF(J21=[15]Legend!$A$70, [15]Legend!$B$70, IF(J21=[15]Legend!$A$71, [15]Legend!$B$71, IF(J21=[15]Legend!$A$72, [15]Legend!$B$72, (IF(J21=[15]Legend!$A$73, [15]Legend!$B$73, IF(J21=[15]Legend!$A$74, [15]Legend!$B$74, "")))))))))))</f>
        <v>180</v>
      </c>
      <c r="L21" s="5">
        <v>180</v>
      </c>
      <c r="M21" s="5">
        <v>1</v>
      </c>
      <c r="N21" s="5" t="s">
        <v>30</v>
      </c>
      <c r="O21" s="5" t="s">
        <v>88</v>
      </c>
    </row>
    <row r="22" spans="1:15" ht="14" customHeight="1" x14ac:dyDescent="0.45">
      <c r="A22" s="7">
        <v>45567</v>
      </c>
      <c r="B22" s="5" t="s">
        <v>36</v>
      </c>
      <c r="C22" s="5" t="s">
        <v>43</v>
      </c>
      <c r="D22" s="5">
        <v>2</v>
      </c>
      <c r="E22" s="5">
        <v>1</v>
      </c>
      <c r="F22" s="5">
        <v>1</v>
      </c>
      <c r="G22" s="7">
        <v>45686</v>
      </c>
      <c r="H22" s="5" t="s">
        <v>91</v>
      </c>
      <c r="I22" s="5">
        <v>6</v>
      </c>
      <c r="J22" s="5" t="s">
        <v>38</v>
      </c>
      <c r="K22" s="6">
        <f>IF(J22=[12]Legend!$A$66,[12]Legend!$B$66,(IF(J22=[12]Legend!$A$67,[12]Legend!$B$67,IF(J22=[12]Legend!$A$68, [12]Legend!$B$68, IF(J22=[12]Legend!$A$69, [12]Legend!$B$69, IF(J22=[12]Legend!$A$70, [12]Legend!$B$70, IF(J22=[12]Legend!$A$71, [12]Legend!$B$71, IF(J22=[12]Legend!$A$72, [12]Legend!$B$72, (IF(J22=[12]Legend!$A$73, [12]Legend!$B$73, IF(J22=[12]Legend!$A$74, [12]Legend!$B$74, "")))))))))))</f>
        <v>180</v>
      </c>
      <c r="L22" s="5">
        <v>179</v>
      </c>
      <c r="M22" s="5">
        <v>0</v>
      </c>
      <c r="N22" s="5"/>
      <c r="O22" s="5"/>
    </row>
    <row r="23" spans="1:15" ht="14" customHeight="1" x14ac:dyDescent="0.45">
      <c r="A23" s="7">
        <v>45567</v>
      </c>
      <c r="B23" s="5" t="s">
        <v>36</v>
      </c>
      <c r="C23" s="5" t="s">
        <v>43</v>
      </c>
      <c r="D23" s="5">
        <v>2</v>
      </c>
      <c r="E23" s="5">
        <v>1</v>
      </c>
      <c r="F23" s="5">
        <v>2</v>
      </c>
      <c r="G23" s="7">
        <v>45686</v>
      </c>
      <c r="H23" s="5" t="s">
        <v>91</v>
      </c>
      <c r="I23" s="5">
        <v>6</v>
      </c>
      <c r="J23" s="5" t="s">
        <v>38</v>
      </c>
      <c r="K23" s="6">
        <f>IF(J23=[12]Legend!$A$66,[12]Legend!$B$66,(IF(J23=[12]Legend!$A$67,[12]Legend!$B$67,IF(J23=[12]Legend!$A$68, [12]Legend!$B$68, IF(J23=[12]Legend!$A$69, [12]Legend!$B$69, IF(J23=[12]Legend!$A$70, [12]Legend!$B$70, IF(J23=[12]Legend!$A$71, [12]Legend!$B$71, IF(J23=[12]Legend!$A$72, [12]Legend!$B$72, (IF(J23=[12]Legend!$A$73, [12]Legend!$B$73, IF(J23=[12]Legend!$A$74, [12]Legend!$B$74, "")))))))))))</f>
        <v>180</v>
      </c>
      <c r="L23" s="5">
        <v>180</v>
      </c>
      <c r="M23" s="5">
        <v>1</v>
      </c>
      <c r="N23" s="5" t="s">
        <v>30</v>
      </c>
      <c r="O23" s="5"/>
    </row>
    <row r="24" spans="1:15" ht="14" customHeight="1" x14ac:dyDescent="0.45">
      <c r="A24" s="7">
        <v>45567</v>
      </c>
      <c r="B24" s="5" t="s">
        <v>36</v>
      </c>
      <c r="C24" s="5" t="s">
        <v>43</v>
      </c>
      <c r="D24" s="5">
        <v>2</v>
      </c>
      <c r="E24" s="5">
        <v>2</v>
      </c>
      <c r="F24" s="5">
        <v>2</v>
      </c>
      <c r="G24" s="7">
        <v>45686</v>
      </c>
      <c r="H24" s="5" t="s">
        <v>91</v>
      </c>
      <c r="I24" s="5">
        <v>6</v>
      </c>
      <c r="J24" s="5" t="s">
        <v>38</v>
      </c>
      <c r="K24" s="6">
        <f>IF(J24=[12]Legend!$A$66,[12]Legend!$B$66,(IF(J24=[12]Legend!$A$67,[12]Legend!$B$67,IF(J24=[12]Legend!$A$68, [12]Legend!$B$68, IF(J24=[12]Legend!$A$69, [12]Legend!$B$69, IF(J24=[12]Legend!$A$70, [12]Legend!$B$70, IF(J24=[12]Legend!$A$71, [12]Legend!$B$71, IF(J24=[12]Legend!$A$72, [12]Legend!$B$72, (IF(J24=[12]Legend!$A$73, [12]Legend!$B$73, IF(J24=[12]Legend!$A$74, [12]Legend!$B$74, "")))))))))))</f>
        <v>180</v>
      </c>
      <c r="L24" s="5">
        <v>180</v>
      </c>
      <c r="M24" s="5">
        <v>0</v>
      </c>
      <c r="N24" s="5"/>
      <c r="O24" s="5"/>
    </row>
    <row r="25" spans="1:15" ht="14" customHeight="1" x14ac:dyDescent="0.45">
      <c r="A25" s="7">
        <v>45567</v>
      </c>
      <c r="B25" s="5" t="s">
        <v>36</v>
      </c>
      <c r="C25" s="5" t="s">
        <v>43</v>
      </c>
      <c r="D25" s="5">
        <v>2</v>
      </c>
      <c r="E25" s="5">
        <v>2</v>
      </c>
      <c r="F25" s="5">
        <v>1</v>
      </c>
      <c r="G25" s="7">
        <v>45686</v>
      </c>
      <c r="H25" s="5" t="s">
        <v>91</v>
      </c>
      <c r="I25" s="5">
        <v>6</v>
      </c>
      <c r="J25" s="5" t="s">
        <v>38</v>
      </c>
      <c r="K25" s="6">
        <f>IF(J25=[12]Legend!$A$66,[12]Legend!$B$66,(IF(J25=[12]Legend!$A$67,[12]Legend!$B$67,IF(J25=[12]Legend!$A$68, [12]Legend!$B$68, IF(J25=[12]Legend!$A$69, [12]Legend!$B$69, IF(J25=[12]Legend!$A$70, [12]Legend!$B$70, IF(J25=[12]Legend!$A$71, [12]Legend!$B$71, IF(J25=[12]Legend!$A$72, [12]Legend!$B$72, (IF(J25=[12]Legend!$A$73, [12]Legend!$B$73, IF(J25=[12]Legend!$A$74, [12]Legend!$B$74, "")))))))))))</f>
        <v>180</v>
      </c>
      <c r="L25" s="5">
        <v>179</v>
      </c>
      <c r="M25" s="5">
        <v>1</v>
      </c>
      <c r="N25" s="5" t="s">
        <v>30</v>
      </c>
      <c r="O25" s="5" t="s">
        <v>156</v>
      </c>
    </row>
    <row r="26" spans="1:15" ht="14" customHeight="1" x14ac:dyDescent="0.45">
      <c r="A26" s="7">
        <v>45560</v>
      </c>
      <c r="B26" s="5" t="s">
        <v>36</v>
      </c>
      <c r="C26" s="5" t="s">
        <v>43</v>
      </c>
      <c r="D26" s="5">
        <v>2</v>
      </c>
      <c r="E26" s="5">
        <v>3</v>
      </c>
      <c r="F26" s="5">
        <v>1</v>
      </c>
      <c r="G26" s="7">
        <v>45563</v>
      </c>
      <c r="H26" s="5" t="s">
        <v>17</v>
      </c>
      <c r="I26" s="5">
        <v>6</v>
      </c>
      <c r="J26" s="5" t="s">
        <v>38</v>
      </c>
      <c r="K26" s="6">
        <f>IF(J26=[1]Legend!$A$66,[1]Legend!$B$66,(IF(J26=[1]Legend!$A$67,[1]Legend!$B$67,IF(J26=[1]Legend!$A$68, [1]Legend!$B$68, IF(J26=[1]Legend!$A$69, [1]Legend!$B$69, IF(J26=[1]Legend!$A$70, [1]Legend!$B$70, IF(J26=[1]Legend!$A$71, [1]Legend!$B$71, IF(J26=[1]Legend!$A$72, [1]Legend!$B$72, (IF(J26=[1]Legend!$A$73, [1]Legend!$B$73, IF(J26=[1]Legend!$A$74, [1]Legend!$B$74, "")))))))))))</f>
        <v>180</v>
      </c>
      <c r="L26" s="5">
        <v>180</v>
      </c>
      <c r="M26" s="5">
        <v>1</v>
      </c>
      <c r="N26" s="5" t="s">
        <v>23</v>
      </c>
      <c r="O26" s="5" t="s">
        <v>44</v>
      </c>
    </row>
    <row r="27" spans="1:15" ht="14" customHeight="1" x14ac:dyDescent="0.45">
      <c r="A27" s="7">
        <v>45560</v>
      </c>
      <c r="B27" s="5" t="s">
        <v>36</v>
      </c>
      <c r="C27" s="5" t="s">
        <v>43</v>
      </c>
      <c r="D27" s="5">
        <v>2</v>
      </c>
      <c r="E27" s="5">
        <v>3</v>
      </c>
      <c r="F27" s="5">
        <v>2</v>
      </c>
      <c r="G27" s="7">
        <v>45563</v>
      </c>
      <c r="H27" s="5" t="s">
        <v>17</v>
      </c>
      <c r="I27" s="5">
        <v>6</v>
      </c>
      <c r="J27" s="5" t="s">
        <v>38</v>
      </c>
      <c r="K27" s="6">
        <f>IF(J27=[1]Legend!$A$66,[1]Legend!$B$66,(IF(J27=[1]Legend!$A$67,[1]Legend!$B$67,IF(J27=[1]Legend!$A$68, [1]Legend!$B$68, IF(J27=[1]Legend!$A$69, [1]Legend!$B$69, IF(J27=[1]Legend!$A$70, [1]Legend!$B$70, IF(J27=[1]Legend!$A$71, [1]Legend!$B$71, IF(J27=[1]Legend!$A$72, [1]Legend!$B$72, (IF(J27=[1]Legend!$A$73, [1]Legend!$B$73, IF(J27=[1]Legend!$A$74, [1]Legend!$B$74, "")))))))))))</f>
        <v>180</v>
      </c>
      <c r="L27" s="5">
        <v>180</v>
      </c>
      <c r="M27" s="5"/>
      <c r="N27" s="5"/>
      <c r="O27" s="5" t="s">
        <v>44</v>
      </c>
    </row>
    <row r="28" spans="1:15" ht="14" customHeight="1" x14ac:dyDescent="0.45">
      <c r="A28" s="7">
        <v>45560</v>
      </c>
      <c r="B28" s="5" t="s">
        <v>36</v>
      </c>
      <c r="C28" s="5" t="s">
        <v>43</v>
      </c>
      <c r="D28" s="5">
        <v>2</v>
      </c>
      <c r="E28" s="5">
        <v>4</v>
      </c>
      <c r="F28" s="5">
        <v>1</v>
      </c>
      <c r="G28" s="7">
        <v>45563</v>
      </c>
      <c r="H28" s="5" t="s">
        <v>17</v>
      </c>
      <c r="I28" s="5">
        <v>6</v>
      </c>
      <c r="J28" s="5" t="s">
        <v>38</v>
      </c>
      <c r="K28" s="6">
        <f>IF(J28=[1]Legend!$A$66,[1]Legend!$B$66,(IF(J28=[1]Legend!$A$67,[1]Legend!$B$67,IF(J28=[1]Legend!$A$68, [1]Legend!$B$68, IF(J28=[1]Legend!$A$69, [1]Legend!$B$69, IF(J28=[1]Legend!$A$70, [1]Legend!$B$70, IF(J28=[1]Legend!$A$71, [1]Legend!$B$71, IF(J28=[1]Legend!$A$72, [1]Legend!$B$72, (IF(J28=[1]Legend!$A$73, [1]Legend!$B$73, IF(J28=[1]Legend!$A$74, [1]Legend!$B$74, "")))))))))))</f>
        <v>180</v>
      </c>
      <c r="L28" s="5">
        <v>180</v>
      </c>
      <c r="M28" s="5"/>
      <c r="N28" s="5"/>
      <c r="O28" s="5" t="s">
        <v>45</v>
      </c>
    </row>
    <row r="29" spans="1:15" ht="14" customHeight="1" x14ac:dyDescent="0.45">
      <c r="A29" s="7">
        <v>45560</v>
      </c>
      <c r="B29" s="5" t="s">
        <v>36</v>
      </c>
      <c r="C29" s="5" t="s">
        <v>43</v>
      </c>
      <c r="D29" s="5">
        <v>2</v>
      </c>
      <c r="E29" s="5">
        <v>4</v>
      </c>
      <c r="F29" s="5">
        <v>2</v>
      </c>
      <c r="G29" s="7">
        <v>45563</v>
      </c>
      <c r="H29" s="5" t="s">
        <v>17</v>
      </c>
      <c r="I29" s="5">
        <v>6</v>
      </c>
      <c r="J29" s="5" t="s">
        <v>38</v>
      </c>
      <c r="K29" s="6">
        <f>IF(J29=[1]Legend!$A$66,[1]Legend!$B$66,(IF(J29=[1]Legend!$A$67,[1]Legend!$B$67,IF(J29=[1]Legend!$A$68, [1]Legend!$B$68, IF(J29=[1]Legend!$A$69, [1]Legend!$B$69, IF(J29=[1]Legend!$A$70, [1]Legend!$B$70, IF(J29=[1]Legend!$A$71, [1]Legend!$B$71, IF(J29=[1]Legend!$A$72, [1]Legend!$B$72, (IF(J29=[1]Legend!$A$73, [1]Legend!$B$73, IF(J29=[1]Legend!$A$74, [1]Legend!$B$74, "")))))))))))</f>
        <v>180</v>
      </c>
      <c r="L29" s="5">
        <v>180</v>
      </c>
      <c r="M29" s="5"/>
      <c r="N29" s="5"/>
      <c r="O29" s="5" t="s">
        <v>45</v>
      </c>
    </row>
    <row r="30" spans="1:15" ht="14" customHeight="1" x14ac:dyDescent="0.45">
      <c r="A30" s="7">
        <v>45560</v>
      </c>
      <c r="B30" s="5" t="s">
        <v>36</v>
      </c>
      <c r="C30" s="5" t="s">
        <v>43</v>
      </c>
      <c r="D30" s="5">
        <v>2</v>
      </c>
      <c r="E30" s="5">
        <v>5</v>
      </c>
      <c r="F30" s="5">
        <v>2</v>
      </c>
      <c r="G30" s="7">
        <v>45698</v>
      </c>
      <c r="H30" s="5" t="s">
        <v>91</v>
      </c>
      <c r="I30" s="5">
        <v>6</v>
      </c>
      <c r="J30" s="5" t="s">
        <v>38</v>
      </c>
      <c r="K30" s="6">
        <f>IF(J30=[10]Legend!$A$67,[10]Legend!$B$67,(IF(J30=[10]Legend!$A$68,[10]Legend!$B$68,IF(J30=[10]Legend!$A$69, [10]Legend!$B$69, IF(J30=[10]Legend!$A$70, [10]Legend!$B$70, IF(J30=[10]Legend!$A$71, [10]Legend!$B$71, IF(J30=[10]Legend!$A$72, [10]Legend!$B$72, IF(J30=[10]Legend!$A$73, [10]Legend!$B$73, (IF(J30=[10]Legend!$A$74, [10]Legend!$B$74, IF(J30=[10]Legend!$A$75, [10]Legend!$B$75, "")))))))))))</f>
        <v>180</v>
      </c>
      <c r="L30" s="5">
        <v>179</v>
      </c>
      <c r="M30" s="5">
        <v>0</v>
      </c>
      <c r="N30" s="5"/>
      <c r="O30" s="5"/>
    </row>
    <row r="31" spans="1:15" ht="14" customHeight="1" x14ac:dyDescent="0.45">
      <c r="A31" s="7">
        <v>45560</v>
      </c>
      <c r="B31" s="5" t="s">
        <v>36</v>
      </c>
      <c r="C31" s="5" t="s">
        <v>43</v>
      </c>
      <c r="D31" s="5">
        <v>2</v>
      </c>
      <c r="E31" s="5">
        <v>5</v>
      </c>
      <c r="F31" s="5">
        <v>1</v>
      </c>
      <c r="G31" s="7">
        <v>45698</v>
      </c>
      <c r="H31" s="5" t="s">
        <v>91</v>
      </c>
      <c r="I31" s="5">
        <v>6</v>
      </c>
      <c r="J31" s="5" t="s">
        <v>38</v>
      </c>
      <c r="K31" s="6">
        <f>IF(J31=[10]Legend!$A$67,[10]Legend!$B$67,(IF(J31=[10]Legend!$A$68,[10]Legend!$B$68,IF(J31=[10]Legend!$A$69, [10]Legend!$B$69, IF(J31=[10]Legend!$A$70, [10]Legend!$B$70, IF(J31=[10]Legend!$A$71, [10]Legend!$B$71, IF(J31=[10]Legend!$A$72, [10]Legend!$B$72, IF(J31=[10]Legend!$A$73, [10]Legend!$B$73, (IF(J31=[10]Legend!$A$74, [10]Legend!$B$74, IF(J31=[10]Legend!$A$75, [10]Legend!$B$75, "")))))))))))</f>
        <v>180</v>
      </c>
      <c r="L31" s="5">
        <v>180</v>
      </c>
      <c r="M31" s="5">
        <v>1</v>
      </c>
      <c r="N31" s="5" t="s">
        <v>21</v>
      </c>
      <c r="O31" s="5"/>
    </row>
    <row r="32" spans="1:15" ht="14" customHeight="1" x14ac:dyDescent="0.45">
      <c r="A32" s="7">
        <v>45560</v>
      </c>
      <c r="B32" s="5" t="s">
        <v>36</v>
      </c>
      <c r="C32" s="5" t="s">
        <v>43</v>
      </c>
      <c r="D32" s="5">
        <v>2</v>
      </c>
      <c r="E32" s="5">
        <v>6</v>
      </c>
      <c r="F32" s="5">
        <v>1</v>
      </c>
      <c r="G32" s="7">
        <v>45563</v>
      </c>
      <c r="H32" s="5" t="s">
        <v>17</v>
      </c>
      <c r="I32" s="5">
        <v>6</v>
      </c>
      <c r="J32" s="5" t="s">
        <v>38</v>
      </c>
      <c r="K32" s="6">
        <f>IF(J32=[1]Legend!$A$66,[1]Legend!$B$66,(IF(J32=[1]Legend!$A$67,[1]Legend!$B$67,IF(J32=[1]Legend!$A$68, [1]Legend!$B$68, IF(J32=[1]Legend!$A$69, [1]Legend!$B$69, IF(J32=[1]Legend!$A$70, [1]Legend!$B$70, IF(J32=[1]Legend!$A$71, [1]Legend!$B$71, IF(J32=[1]Legend!$A$72, [1]Legend!$B$72, (IF(J32=[1]Legend!$A$73, [1]Legend!$B$73, IF(J32=[1]Legend!$A$74, [1]Legend!$B$74, "")))))))))))</f>
        <v>180</v>
      </c>
      <c r="L32" s="5">
        <v>180</v>
      </c>
      <c r="M32" s="5"/>
      <c r="N32" s="5"/>
      <c r="O32" s="5" t="s">
        <v>46</v>
      </c>
    </row>
    <row r="33" spans="1:15" ht="14" customHeight="1" x14ac:dyDescent="0.45">
      <c r="A33" s="7">
        <v>45560</v>
      </c>
      <c r="B33" s="5" t="s">
        <v>36</v>
      </c>
      <c r="C33" s="5" t="s">
        <v>43</v>
      </c>
      <c r="D33" s="5">
        <v>2</v>
      </c>
      <c r="E33" s="5">
        <v>6</v>
      </c>
      <c r="F33" s="5">
        <v>2</v>
      </c>
      <c r="G33" s="7">
        <v>45563</v>
      </c>
      <c r="H33" s="5" t="s">
        <v>17</v>
      </c>
      <c r="I33" s="5">
        <v>6</v>
      </c>
      <c r="J33" s="5" t="s">
        <v>38</v>
      </c>
      <c r="K33" s="6">
        <f>IF(J33=[1]Legend!$A$66,[1]Legend!$B$66,(IF(J33=[1]Legend!$A$67,[1]Legend!$B$67,IF(J33=[1]Legend!$A$68, [1]Legend!$B$68, IF(J33=[1]Legend!$A$69, [1]Legend!$B$69, IF(J33=[1]Legend!$A$70, [1]Legend!$B$70, IF(J33=[1]Legend!$A$71, [1]Legend!$B$71, IF(J33=[1]Legend!$A$72, [1]Legend!$B$72, (IF(J33=[1]Legend!$A$73, [1]Legend!$B$73, IF(J33=[1]Legend!$A$74, [1]Legend!$B$74, "")))))))))))</f>
        <v>180</v>
      </c>
      <c r="L33" s="5">
        <v>180</v>
      </c>
      <c r="M33" s="5">
        <v>1</v>
      </c>
      <c r="N33" s="5" t="s">
        <v>30</v>
      </c>
      <c r="O33" s="5" t="s">
        <v>47</v>
      </c>
    </row>
    <row r="34" spans="1:15" ht="14" customHeight="1" x14ac:dyDescent="0.45">
      <c r="A34" s="7">
        <v>45560</v>
      </c>
      <c r="B34" s="5" t="s">
        <v>36</v>
      </c>
      <c r="C34" s="5" t="s">
        <v>43</v>
      </c>
      <c r="D34" s="5">
        <v>2</v>
      </c>
      <c r="E34" s="5">
        <v>7</v>
      </c>
      <c r="F34" s="5">
        <v>1</v>
      </c>
      <c r="G34" s="7">
        <v>45698</v>
      </c>
      <c r="H34" s="5" t="s">
        <v>91</v>
      </c>
      <c r="I34" s="5">
        <v>6</v>
      </c>
      <c r="J34" s="5" t="s">
        <v>38</v>
      </c>
      <c r="K34" s="6">
        <f>IF(J34=[10]Legend!$A$67,[10]Legend!$B$67,(IF(J34=[10]Legend!$A$68,[10]Legend!$B$68,IF(J34=[10]Legend!$A$69, [10]Legend!$B$69, IF(J34=[10]Legend!$A$70, [10]Legend!$B$70, IF(J34=[10]Legend!$A$71, [10]Legend!$B$71, IF(J34=[10]Legend!$A$72, [10]Legend!$B$72, IF(J34=[10]Legend!$A$73, [10]Legend!$B$73, (IF(J34=[10]Legend!$A$74, [10]Legend!$B$74, IF(J34=[10]Legend!$A$75, [10]Legend!$B$75, "")))))))))))</f>
        <v>180</v>
      </c>
      <c r="L34" s="5">
        <v>180</v>
      </c>
      <c r="M34" s="5">
        <v>0</v>
      </c>
      <c r="N34" s="5"/>
      <c r="O34" s="5" t="s">
        <v>140</v>
      </c>
    </row>
    <row r="35" spans="1:15" ht="14" customHeight="1" x14ac:dyDescent="0.45">
      <c r="A35" s="7">
        <v>45560</v>
      </c>
      <c r="B35" s="5" t="s">
        <v>36</v>
      </c>
      <c r="C35" s="5" t="s">
        <v>43</v>
      </c>
      <c r="D35" s="5">
        <v>2</v>
      </c>
      <c r="E35" s="5">
        <v>7</v>
      </c>
      <c r="F35" s="5">
        <v>2</v>
      </c>
      <c r="G35" s="7">
        <v>45698</v>
      </c>
      <c r="H35" s="5" t="s">
        <v>91</v>
      </c>
      <c r="I35" s="5">
        <v>6</v>
      </c>
      <c r="J35" s="5" t="s">
        <v>38</v>
      </c>
      <c r="K35" s="6">
        <f>IF(J35=[10]Legend!$A$67,[10]Legend!$B$67,(IF(J35=[10]Legend!$A$68,[10]Legend!$B$68,IF(J35=[10]Legend!$A$69, [10]Legend!$B$69, IF(J35=[10]Legend!$A$70, [10]Legend!$B$70, IF(J35=[10]Legend!$A$71, [10]Legend!$B$71, IF(J35=[10]Legend!$A$72, [10]Legend!$B$72, IF(J35=[10]Legend!$A$73, [10]Legend!$B$73, (IF(J35=[10]Legend!$A$74, [10]Legend!$B$74, IF(J35=[10]Legend!$A$75, [10]Legend!$B$75, "")))))))))))</f>
        <v>180</v>
      </c>
      <c r="L35" s="5">
        <v>184</v>
      </c>
      <c r="M35" s="5">
        <v>1</v>
      </c>
      <c r="N35" s="5" t="s">
        <v>30</v>
      </c>
      <c r="O35" s="5" t="s">
        <v>139</v>
      </c>
    </row>
    <row r="36" spans="1:15" ht="14" customHeight="1" x14ac:dyDescent="0.45">
      <c r="A36" s="7">
        <v>45560</v>
      </c>
      <c r="B36" s="5" t="s">
        <v>36</v>
      </c>
      <c r="C36" s="5" t="s">
        <v>43</v>
      </c>
      <c r="D36" s="5">
        <v>2</v>
      </c>
      <c r="E36" s="5">
        <v>8</v>
      </c>
      <c r="F36" s="5">
        <v>1</v>
      </c>
      <c r="G36" s="7">
        <v>45563</v>
      </c>
      <c r="H36" s="5" t="s">
        <v>17</v>
      </c>
      <c r="I36" s="5">
        <v>6</v>
      </c>
      <c r="J36" s="5" t="s">
        <v>38</v>
      </c>
      <c r="K36" s="6">
        <f>IF(J36=[1]Legend!$A$66,[1]Legend!$B$66,(IF(J36=[1]Legend!$A$67,[1]Legend!$B$67,IF(J36=[1]Legend!$A$68, [1]Legend!$B$68, IF(J36=[1]Legend!$A$69, [1]Legend!$B$69, IF(J36=[1]Legend!$A$70, [1]Legend!$B$70, IF(J36=[1]Legend!$A$71, [1]Legend!$B$71, IF(J36=[1]Legend!$A$72, [1]Legend!$B$72, (IF(J36=[1]Legend!$A$73, [1]Legend!$B$73, IF(J36=[1]Legend!$A$74, [1]Legend!$B$74, "")))))))))))</f>
        <v>180</v>
      </c>
      <c r="L36" s="5">
        <v>180</v>
      </c>
      <c r="M36" s="5"/>
      <c r="N36" s="5"/>
      <c r="O36" s="5" t="s">
        <v>48</v>
      </c>
    </row>
    <row r="37" spans="1:15" ht="14" customHeight="1" x14ac:dyDescent="0.45">
      <c r="A37" s="7">
        <v>45560</v>
      </c>
      <c r="B37" s="5" t="s">
        <v>36</v>
      </c>
      <c r="C37" s="5" t="s">
        <v>43</v>
      </c>
      <c r="D37" s="5">
        <v>2</v>
      </c>
      <c r="E37" s="5">
        <v>8</v>
      </c>
      <c r="F37" s="5">
        <v>2</v>
      </c>
      <c r="G37" s="7">
        <v>45563</v>
      </c>
      <c r="H37" s="5" t="s">
        <v>17</v>
      </c>
      <c r="I37" s="5">
        <v>6</v>
      </c>
      <c r="J37" s="5" t="s">
        <v>38</v>
      </c>
      <c r="K37" s="6">
        <f>IF(J37=[1]Legend!$A$66,[1]Legend!$B$66,(IF(J37=[1]Legend!$A$67,[1]Legend!$B$67,IF(J37=[1]Legend!$A$68, [1]Legend!$B$68, IF(J37=[1]Legend!$A$69, [1]Legend!$B$69, IF(J37=[1]Legend!$A$70, [1]Legend!$B$70, IF(J37=[1]Legend!$A$71, [1]Legend!$B$71, IF(J37=[1]Legend!$A$72, [1]Legend!$B$72, (IF(J37=[1]Legend!$A$73, [1]Legend!$B$73, IF(J37=[1]Legend!$A$74, [1]Legend!$B$74, "")))))))))))</f>
        <v>180</v>
      </c>
      <c r="L37" s="5">
        <v>180</v>
      </c>
      <c r="M37" s="5">
        <v>1</v>
      </c>
      <c r="N37" s="5" t="s">
        <v>21</v>
      </c>
      <c r="O37" s="5" t="s">
        <v>49</v>
      </c>
    </row>
    <row r="38" spans="1:15" ht="14" customHeight="1" x14ac:dyDescent="0.45">
      <c r="A38" s="7">
        <v>45560</v>
      </c>
      <c r="B38" s="5" t="s">
        <v>36</v>
      </c>
      <c r="C38" s="5" t="s">
        <v>43</v>
      </c>
      <c r="D38" s="5">
        <v>2</v>
      </c>
      <c r="E38" s="5">
        <v>9</v>
      </c>
      <c r="F38" s="5">
        <v>1</v>
      </c>
      <c r="G38" s="7">
        <v>45563</v>
      </c>
      <c r="H38" s="5" t="s">
        <v>17</v>
      </c>
      <c r="I38" s="5">
        <v>6</v>
      </c>
      <c r="J38" s="5" t="s">
        <v>38</v>
      </c>
      <c r="K38" s="6">
        <f>IF(J38=[1]Legend!$A$66,[1]Legend!$B$66,(IF(J38=[1]Legend!$A$67,[1]Legend!$B$67,IF(J38=[1]Legend!$A$68, [1]Legend!$B$68, IF(J38=[1]Legend!$A$69, [1]Legend!$B$69, IF(J38=[1]Legend!$A$70, [1]Legend!$B$70, IF(J38=[1]Legend!$A$71, [1]Legend!$B$71, IF(J38=[1]Legend!$A$72, [1]Legend!$B$72, (IF(J38=[1]Legend!$A$73, [1]Legend!$B$73, IF(J38=[1]Legend!$A$74, [1]Legend!$B$74, "")))))))))))</f>
        <v>180</v>
      </c>
      <c r="L38" s="5">
        <v>180</v>
      </c>
      <c r="M38" s="5">
        <v>1</v>
      </c>
      <c r="N38" s="5" t="s">
        <v>21</v>
      </c>
      <c r="O38" s="5" t="s">
        <v>44</v>
      </c>
    </row>
    <row r="39" spans="1:15" ht="14" customHeight="1" x14ac:dyDescent="0.45">
      <c r="A39" s="7">
        <v>45560</v>
      </c>
      <c r="B39" s="5" t="s">
        <v>36</v>
      </c>
      <c r="C39" s="5" t="s">
        <v>43</v>
      </c>
      <c r="D39" s="5">
        <v>2</v>
      </c>
      <c r="E39" s="5">
        <v>9</v>
      </c>
      <c r="F39" s="5">
        <v>2</v>
      </c>
      <c r="G39" s="7">
        <v>45563</v>
      </c>
      <c r="H39" s="5" t="s">
        <v>17</v>
      </c>
      <c r="I39" s="5">
        <v>6</v>
      </c>
      <c r="J39" s="5" t="s">
        <v>38</v>
      </c>
      <c r="K39" s="6">
        <f>IF(J39=[1]Legend!$A$66,[1]Legend!$B$66,(IF(J39=[1]Legend!$A$67,[1]Legend!$B$67,IF(J39=[1]Legend!$A$68, [1]Legend!$B$68, IF(J39=[1]Legend!$A$69, [1]Legend!$B$69, IF(J39=[1]Legend!$A$70, [1]Legend!$B$70, IF(J39=[1]Legend!$A$71, [1]Legend!$B$71, IF(J39=[1]Legend!$A$72, [1]Legend!$B$72, (IF(J39=[1]Legend!$A$73, [1]Legend!$B$73, IF(J39=[1]Legend!$A$74, [1]Legend!$B$74, "")))))))))))</f>
        <v>180</v>
      </c>
      <c r="L39" s="5">
        <v>180</v>
      </c>
      <c r="M39" s="5"/>
      <c r="N39" s="5"/>
      <c r="O39" s="5" t="s">
        <v>46</v>
      </c>
    </row>
    <row r="40" spans="1:15" ht="14" customHeight="1" x14ac:dyDescent="0.45">
      <c r="A40" s="7">
        <v>45560</v>
      </c>
      <c r="B40" s="5" t="s">
        <v>36</v>
      </c>
      <c r="C40" s="5" t="s">
        <v>43</v>
      </c>
      <c r="D40" s="5">
        <v>2</v>
      </c>
      <c r="E40" s="5">
        <v>10</v>
      </c>
      <c r="F40" s="5">
        <v>1</v>
      </c>
      <c r="G40" s="7">
        <v>45698</v>
      </c>
      <c r="H40" s="5" t="s">
        <v>91</v>
      </c>
      <c r="I40" s="5">
        <v>6</v>
      </c>
      <c r="J40" s="5" t="s">
        <v>38</v>
      </c>
      <c r="K40" s="6">
        <f>IF(J40=[10]Legend!$A$67,[10]Legend!$B$67,(IF(J40=[10]Legend!$A$68,[10]Legend!$B$68,IF(J40=[10]Legend!$A$69, [10]Legend!$B$69, IF(J40=[10]Legend!$A$70, [10]Legend!$B$70, IF(J40=[10]Legend!$A$71, [10]Legend!$B$71, IF(J40=[10]Legend!$A$72, [10]Legend!$B$72, IF(J40=[10]Legend!$A$73, [10]Legend!$B$73, (IF(J40=[10]Legend!$A$74, [10]Legend!$B$74, IF(J40=[10]Legend!$A$75, [10]Legend!$B$75, "")))))))))))</f>
        <v>180</v>
      </c>
      <c r="L40" s="5">
        <v>180</v>
      </c>
      <c r="M40" s="5">
        <v>0</v>
      </c>
      <c r="N40" s="5"/>
      <c r="O40" s="5" t="s">
        <v>139</v>
      </c>
    </row>
    <row r="41" spans="1:15" ht="14" customHeight="1" x14ac:dyDescent="0.45">
      <c r="A41" s="7">
        <v>45560</v>
      </c>
      <c r="B41" s="5" t="s">
        <v>36</v>
      </c>
      <c r="C41" s="5" t="s">
        <v>43</v>
      </c>
      <c r="D41" s="5">
        <v>2</v>
      </c>
      <c r="E41" s="5">
        <v>10</v>
      </c>
      <c r="F41" s="5">
        <v>2</v>
      </c>
      <c r="G41" s="7">
        <v>45698</v>
      </c>
      <c r="H41" s="5" t="s">
        <v>91</v>
      </c>
      <c r="I41" s="5">
        <v>6</v>
      </c>
      <c r="J41" s="5" t="s">
        <v>38</v>
      </c>
      <c r="K41" s="6">
        <f>IF(J41=[10]Legend!$A$67,[10]Legend!$B$67,(IF(J41=[10]Legend!$A$68,[10]Legend!$B$68,IF(J41=[10]Legend!$A$69, [10]Legend!$B$69, IF(J41=[10]Legend!$A$70, [10]Legend!$B$70, IF(J41=[10]Legend!$A$71, [10]Legend!$B$71, IF(J41=[10]Legend!$A$72, [10]Legend!$B$72, IF(J41=[10]Legend!$A$73, [10]Legend!$B$73, (IF(J41=[10]Legend!$A$74, [10]Legend!$B$74, IF(J41=[10]Legend!$A$75, [10]Legend!$B$75, "")))))))))))</f>
        <v>180</v>
      </c>
      <c r="L41" s="5">
        <v>180</v>
      </c>
      <c r="M41" s="5">
        <v>0</v>
      </c>
      <c r="N41" s="5"/>
      <c r="O41" s="5"/>
    </row>
    <row r="42" spans="1:15" ht="14" customHeight="1" x14ac:dyDescent="0.45">
      <c r="A42" s="7">
        <v>45567</v>
      </c>
      <c r="B42" s="5" t="s">
        <v>36</v>
      </c>
      <c r="C42" s="5" t="s">
        <v>37</v>
      </c>
      <c r="D42" s="5">
        <v>3</v>
      </c>
      <c r="E42" s="5">
        <v>1</v>
      </c>
      <c r="F42" s="5">
        <v>1</v>
      </c>
      <c r="G42" s="7">
        <v>45598</v>
      </c>
      <c r="H42" s="5" t="s">
        <v>17</v>
      </c>
      <c r="I42" s="5">
        <v>6</v>
      </c>
      <c r="J42" s="5" t="s">
        <v>38</v>
      </c>
      <c r="K42" s="6">
        <f>IF(J42=[1]Legend!$A$66,[1]Legend!$B$66,(IF(J42=[1]Legend!$A$67,[1]Legend!$B$67,IF(J42=[1]Legend!$A$68, [1]Legend!$B$68, IF(J42=[1]Legend!$A$69, [1]Legend!$B$69, IF(J42=[1]Legend!$A$70, [1]Legend!$B$70, IF(J42=[1]Legend!$A$71, [1]Legend!$B$71, IF(J42=[1]Legend!$A$72, [1]Legend!$B$72, (IF(J42=[1]Legend!$A$73, [1]Legend!$B$73, IF(J42=[1]Legend!$A$74, [1]Legend!$B$74, "")))))))))))</f>
        <v>180</v>
      </c>
      <c r="L42" s="5">
        <v>180</v>
      </c>
      <c r="M42" s="5"/>
      <c r="N42" s="5"/>
      <c r="O42" s="5" t="s">
        <v>78</v>
      </c>
    </row>
    <row r="43" spans="1:15" ht="14" customHeight="1" x14ac:dyDescent="0.45">
      <c r="A43" s="7">
        <v>45567</v>
      </c>
      <c r="B43" s="5" t="s">
        <v>36</v>
      </c>
      <c r="C43" s="5" t="s">
        <v>37</v>
      </c>
      <c r="D43" s="5">
        <v>3</v>
      </c>
      <c r="E43" s="5">
        <v>1</v>
      </c>
      <c r="F43" s="5">
        <v>2</v>
      </c>
      <c r="G43" s="7">
        <v>45598</v>
      </c>
      <c r="H43" s="5" t="s">
        <v>17</v>
      </c>
      <c r="I43" s="5">
        <v>6</v>
      </c>
      <c r="J43" s="5" t="s">
        <v>38</v>
      </c>
      <c r="K43" s="6">
        <f>IF(J43=[1]Legend!$A$66,[1]Legend!$B$66,(IF(J43=[1]Legend!$A$67,[1]Legend!$B$67,IF(J43=[1]Legend!$A$68, [1]Legend!$B$68, IF(J43=[1]Legend!$A$69, [1]Legend!$B$69, IF(J43=[1]Legend!$A$70, [1]Legend!$B$70, IF(J43=[1]Legend!$A$71, [1]Legend!$B$71, IF(J43=[1]Legend!$A$72, [1]Legend!$B$72, (IF(J43=[1]Legend!$A$73, [1]Legend!$B$73, IF(J43=[1]Legend!$A$74, [1]Legend!$B$74, "")))))))))))</f>
        <v>180</v>
      </c>
      <c r="L43" s="5">
        <v>180</v>
      </c>
      <c r="M43" s="5"/>
      <c r="N43" s="5"/>
      <c r="O43" s="5" t="s">
        <v>41</v>
      </c>
    </row>
    <row r="44" spans="1:15" ht="14" customHeight="1" x14ac:dyDescent="0.45">
      <c r="A44" s="7">
        <v>45567</v>
      </c>
      <c r="B44" s="5" t="s">
        <v>36</v>
      </c>
      <c r="C44" s="5" t="s">
        <v>37</v>
      </c>
      <c r="D44" s="5">
        <v>3</v>
      </c>
      <c r="E44" s="5">
        <v>2</v>
      </c>
      <c r="F44" s="5">
        <v>1</v>
      </c>
      <c r="G44" s="7">
        <v>45598</v>
      </c>
      <c r="H44" s="5" t="s">
        <v>17</v>
      </c>
      <c r="I44" s="5">
        <v>6</v>
      </c>
      <c r="J44" s="5" t="s">
        <v>38</v>
      </c>
      <c r="K44" s="6">
        <f>IF(J44=[1]Legend!$A$66,[1]Legend!$B$66,(IF(J44=[1]Legend!$A$67,[1]Legend!$B$67,IF(J44=[1]Legend!$A$68, [1]Legend!$B$68, IF(J44=[1]Legend!$A$69, [1]Legend!$B$69, IF(J44=[1]Legend!$A$70, [1]Legend!$B$70, IF(J44=[1]Legend!$A$71, [1]Legend!$B$71, IF(J44=[1]Legend!$A$72, [1]Legend!$B$72, (IF(J44=[1]Legend!$A$73, [1]Legend!$B$73, IF(J44=[1]Legend!$A$74, [1]Legend!$B$74, "")))))))))))</f>
        <v>180</v>
      </c>
      <c r="L44" s="5">
        <v>180</v>
      </c>
      <c r="M44" s="5"/>
      <c r="N44" s="5"/>
      <c r="O44" s="5" t="s">
        <v>79</v>
      </c>
    </row>
    <row r="45" spans="1:15" ht="14" customHeight="1" x14ac:dyDescent="0.45">
      <c r="A45" s="7">
        <v>45567</v>
      </c>
      <c r="B45" s="5" t="s">
        <v>36</v>
      </c>
      <c r="C45" s="5" t="s">
        <v>37</v>
      </c>
      <c r="D45" s="5">
        <v>3</v>
      </c>
      <c r="E45" s="5">
        <v>2</v>
      </c>
      <c r="F45" s="5">
        <v>2</v>
      </c>
      <c r="G45" s="7">
        <v>45598</v>
      </c>
      <c r="H45" s="5" t="s">
        <v>17</v>
      </c>
      <c r="I45" s="5">
        <v>6</v>
      </c>
      <c r="J45" s="5" t="s">
        <v>38</v>
      </c>
      <c r="K45" s="6">
        <f>IF(J45=[1]Legend!$A$66,[1]Legend!$B$66,(IF(J45=[1]Legend!$A$67,[1]Legend!$B$67,IF(J45=[1]Legend!$A$68, [1]Legend!$B$68, IF(J45=[1]Legend!$A$69, [1]Legend!$B$69, IF(J45=[1]Legend!$A$70, [1]Legend!$B$70, IF(J45=[1]Legend!$A$71, [1]Legend!$B$71, IF(J45=[1]Legend!$A$72, [1]Legend!$B$72, (IF(J45=[1]Legend!$A$73, [1]Legend!$B$73, IF(J45=[1]Legend!$A$74, [1]Legend!$B$74, "")))))))))))</f>
        <v>180</v>
      </c>
      <c r="L45" s="5">
        <v>180</v>
      </c>
      <c r="M45" s="5"/>
      <c r="N45" s="5"/>
      <c r="O45" s="5" t="s">
        <v>80</v>
      </c>
    </row>
    <row r="46" spans="1:15" ht="14" customHeight="1" x14ac:dyDescent="0.45">
      <c r="A46" s="7">
        <v>45567</v>
      </c>
      <c r="B46" s="5" t="s">
        <v>36</v>
      </c>
      <c r="C46" s="5" t="s">
        <v>37</v>
      </c>
      <c r="D46" s="5">
        <v>3</v>
      </c>
      <c r="E46" s="5">
        <v>3</v>
      </c>
      <c r="F46" s="5">
        <v>1</v>
      </c>
      <c r="G46" s="7">
        <v>45598</v>
      </c>
      <c r="H46" s="5" t="s">
        <v>17</v>
      </c>
      <c r="I46" s="5">
        <v>6</v>
      </c>
      <c r="J46" s="5" t="s">
        <v>38</v>
      </c>
      <c r="K46" s="6">
        <f>IF(J46=[1]Legend!$A$66,[1]Legend!$B$66,(IF(J46=[1]Legend!$A$67,[1]Legend!$B$67,IF(J46=[1]Legend!$A$68, [1]Legend!$B$68, IF(J46=[1]Legend!$A$69, [1]Legend!$B$69, IF(J46=[1]Legend!$A$70, [1]Legend!$B$70, IF(J46=[1]Legend!$A$71, [1]Legend!$B$71, IF(J46=[1]Legend!$A$72, [1]Legend!$B$72, (IF(J46=[1]Legend!$A$73, [1]Legend!$B$73, IF(J46=[1]Legend!$A$74, [1]Legend!$B$74, "")))))))))))</f>
        <v>180</v>
      </c>
      <c r="L46" s="5">
        <v>180</v>
      </c>
      <c r="M46" s="5"/>
      <c r="N46" s="5"/>
      <c r="O46" s="5" t="s">
        <v>41</v>
      </c>
    </row>
    <row r="47" spans="1:15" ht="14" customHeight="1" x14ac:dyDescent="0.45">
      <c r="A47" s="7">
        <v>45567</v>
      </c>
      <c r="B47" s="5" t="s">
        <v>36</v>
      </c>
      <c r="C47" s="5" t="s">
        <v>37</v>
      </c>
      <c r="D47" s="5">
        <v>3</v>
      </c>
      <c r="E47" s="5">
        <v>3</v>
      </c>
      <c r="F47" s="5">
        <v>2</v>
      </c>
      <c r="G47" s="7">
        <v>45598</v>
      </c>
      <c r="H47" s="5" t="s">
        <v>17</v>
      </c>
      <c r="I47" s="5">
        <v>6</v>
      </c>
      <c r="J47" s="5" t="s">
        <v>38</v>
      </c>
      <c r="K47" s="6">
        <f>IF(J47=[1]Legend!$A$66,[1]Legend!$B$66,(IF(J47=[1]Legend!$A$67,[1]Legend!$B$67,IF(J47=[1]Legend!$A$68, [1]Legend!$B$68, IF(J47=[1]Legend!$A$69, [1]Legend!$B$69, IF(J47=[1]Legend!$A$70, [1]Legend!$B$70, IF(J47=[1]Legend!$A$71, [1]Legend!$B$71, IF(J47=[1]Legend!$A$72, [1]Legend!$B$72, (IF(J47=[1]Legend!$A$73, [1]Legend!$B$73, IF(J47=[1]Legend!$A$74, [1]Legend!$B$74, "")))))))))))</f>
        <v>180</v>
      </c>
      <c r="L47" s="5">
        <v>180</v>
      </c>
      <c r="M47" s="5"/>
      <c r="N47" s="5"/>
      <c r="O47" s="5" t="s">
        <v>45</v>
      </c>
    </row>
    <row r="48" spans="1:15" ht="14" customHeight="1" x14ac:dyDescent="0.45">
      <c r="A48" s="7">
        <v>45567</v>
      </c>
      <c r="B48" s="5" t="s">
        <v>36</v>
      </c>
      <c r="C48" s="5" t="s">
        <v>37</v>
      </c>
      <c r="D48" s="5">
        <v>3</v>
      </c>
      <c r="E48" s="5">
        <v>4</v>
      </c>
      <c r="F48" s="5">
        <v>1</v>
      </c>
      <c r="G48" s="7">
        <v>45598</v>
      </c>
      <c r="H48" s="5" t="s">
        <v>17</v>
      </c>
      <c r="I48" s="5">
        <v>6</v>
      </c>
      <c r="J48" s="5" t="s">
        <v>38</v>
      </c>
      <c r="K48" s="6">
        <f>IF(J48=[1]Legend!$A$66,[1]Legend!$B$66,(IF(J48=[1]Legend!$A$67,[1]Legend!$B$67,IF(J48=[1]Legend!$A$68, [1]Legend!$B$68, IF(J48=[1]Legend!$A$69, [1]Legend!$B$69, IF(J48=[1]Legend!$A$70, [1]Legend!$B$70, IF(J48=[1]Legend!$A$71, [1]Legend!$B$71, IF(J48=[1]Legend!$A$72, [1]Legend!$B$72, (IF(J48=[1]Legend!$A$73, [1]Legend!$B$73, IF(J48=[1]Legend!$A$74, [1]Legend!$B$74, "")))))))))))</f>
        <v>180</v>
      </c>
      <c r="L48" s="5">
        <v>178</v>
      </c>
      <c r="M48" s="5"/>
      <c r="N48" s="5"/>
      <c r="O48" s="5" t="s">
        <v>41</v>
      </c>
    </row>
    <row r="49" spans="1:15" ht="14" customHeight="1" x14ac:dyDescent="0.45">
      <c r="A49" s="7">
        <v>45567</v>
      </c>
      <c r="B49" s="5" t="s">
        <v>36</v>
      </c>
      <c r="C49" s="5" t="s">
        <v>37</v>
      </c>
      <c r="D49" s="5">
        <v>3</v>
      </c>
      <c r="E49" s="5">
        <v>4</v>
      </c>
      <c r="F49" s="5">
        <v>2</v>
      </c>
      <c r="G49" s="7">
        <v>45598</v>
      </c>
      <c r="H49" s="5" t="s">
        <v>17</v>
      </c>
      <c r="I49" s="5">
        <v>6</v>
      </c>
      <c r="J49" s="5" t="s">
        <v>38</v>
      </c>
      <c r="K49" s="6">
        <f>IF(J49=[1]Legend!$A$66,[1]Legend!$B$66,(IF(J49=[1]Legend!$A$67,[1]Legend!$B$67,IF(J49=[1]Legend!$A$68, [1]Legend!$B$68, IF(J49=[1]Legend!$A$69, [1]Legend!$B$69, IF(J49=[1]Legend!$A$70, [1]Legend!$B$70, IF(J49=[1]Legend!$A$71, [1]Legend!$B$71, IF(J49=[1]Legend!$A$72, [1]Legend!$B$72, (IF(J49=[1]Legend!$A$73, [1]Legend!$B$73, IF(J49=[1]Legend!$A$74, [1]Legend!$B$74, "")))))))))))</f>
        <v>180</v>
      </c>
      <c r="L49" s="5">
        <v>180</v>
      </c>
      <c r="M49" s="5"/>
      <c r="N49" s="5"/>
      <c r="O49" s="5"/>
    </row>
    <row r="50" spans="1:15" ht="14" customHeight="1" x14ac:dyDescent="0.45">
      <c r="A50" s="7">
        <v>45567</v>
      </c>
      <c r="B50" s="5" t="s">
        <v>36</v>
      </c>
      <c r="C50" s="5" t="s">
        <v>37</v>
      </c>
      <c r="D50" s="5">
        <v>3</v>
      </c>
      <c r="E50" s="5">
        <v>5</v>
      </c>
      <c r="F50" s="5">
        <v>1</v>
      </c>
      <c r="G50" s="7">
        <v>45598</v>
      </c>
      <c r="H50" s="5" t="s">
        <v>17</v>
      </c>
      <c r="I50" s="5">
        <v>6</v>
      </c>
      <c r="J50" s="5" t="s">
        <v>38</v>
      </c>
      <c r="K50" s="6">
        <f>IF(J50=[1]Legend!$A$66,[1]Legend!$B$66,(IF(J50=[1]Legend!$A$67,[1]Legend!$B$67,IF(J50=[1]Legend!$A$68, [1]Legend!$B$68, IF(J50=[1]Legend!$A$69, [1]Legend!$B$69, IF(J50=[1]Legend!$A$70, [1]Legend!$B$70, IF(J50=[1]Legend!$A$71, [1]Legend!$B$71, IF(J50=[1]Legend!$A$72, [1]Legend!$B$72, (IF(J50=[1]Legend!$A$73, [1]Legend!$B$73, IF(J50=[1]Legend!$A$74, [1]Legend!$B$74, "")))))))))))</f>
        <v>180</v>
      </c>
      <c r="L50" s="5">
        <v>180</v>
      </c>
      <c r="M50" s="5"/>
      <c r="N50" s="5"/>
      <c r="O50" s="5"/>
    </row>
    <row r="51" spans="1:15" ht="14" customHeight="1" x14ac:dyDescent="0.45">
      <c r="A51" s="7">
        <v>45567</v>
      </c>
      <c r="B51" s="5" t="s">
        <v>36</v>
      </c>
      <c r="C51" s="5" t="s">
        <v>37</v>
      </c>
      <c r="D51" s="5">
        <v>3</v>
      </c>
      <c r="E51" s="5">
        <v>5</v>
      </c>
      <c r="F51" s="5">
        <v>2</v>
      </c>
      <c r="G51" s="7">
        <v>45598</v>
      </c>
      <c r="H51" s="5" t="s">
        <v>17</v>
      </c>
      <c r="I51" s="5">
        <v>6</v>
      </c>
      <c r="J51" s="5" t="s">
        <v>38</v>
      </c>
      <c r="K51" s="6">
        <f>IF(J51=[1]Legend!$A$66,[1]Legend!$B$66,(IF(J51=[1]Legend!$A$67,[1]Legend!$B$67,IF(J51=[1]Legend!$A$68, [1]Legend!$B$68, IF(J51=[1]Legend!$A$69, [1]Legend!$B$69, IF(J51=[1]Legend!$A$70, [1]Legend!$B$70, IF(J51=[1]Legend!$A$71, [1]Legend!$B$71, IF(J51=[1]Legend!$A$72, [1]Legend!$B$72, (IF(J51=[1]Legend!$A$73, [1]Legend!$B$73, IF(J51=[1]Legend!$A$74, [1]Legend!$B$74, "")))))))))))</f>
        <v>180</v>
      </c>
      <c r="L51" s="5">
        <v>180</v>
      </c>
      <c r="M51" s="5"/>
      <c r="N51" s="5"/>
      <c r="O51" s="5" t="s">
        <v>81</v>
      </c>
    </row>
    <row r="52" spans="1:15" ht="14" customHeight="1" x14ac:dyDescent="0.45">
      <c r="A52" s="7">
        <v>45567</v>
      </c>
      <c r="B52" s="5" t="s">
        <v>36</v>
      </c>
      <c r="C52" s="5" t="s">
        <v>37</v>
      </c>
      <c r="D52" s="5">
        <v>3</v>
      </c>
      <c r="E52" s="5">
        <v>6</v>
      </c>
      <c r="F52" s="5">
        <v>1</v>
      </c>
      <c r="G52" s="7">
        <v>45598</v>
      </c>
      <c r="H52" s="5" t="s">
        <v>17</v>
      </c>
      <c r="I52" s="5">
        <v>6</v>
      </c>
      <c r="J52" s="5" t="s">
        <v>38</v>
      </c>
      <c r="K52" s="6">
        <f>IF(J52=[1]Legend!$A$66,[1]Legend!$B$66,(IF(J52=[1]Legend!$A$67,[1]Legend!$B$67,IF(J52=[1]Legend!$A$68, [1]Legend!$B$68, IF(J52=[1]Legend!$A$69, [1]Legend!$B$69, IF(J52=[1]Legend!$A$70, [1]Legend!$B$70, IF(J52=[1]Legend!$A$71, [1]Legend!$B$71, IF(J52=[1]Legend!$A$72, [1]Legend!$B$72, (IF(J52=[1]Legend!$A$73, [1]Legend!$B$73, IF(J52=[1]Legend!$A$74, [1]Legend!$B$74, "")))))))))))</f>
        <v>180</v>
      </c>
      <c r="L52" s="5">
        <v>179</v>
      </c>
      <c r="M52" s="5"/>
      <c r="N52" s="5"/>
      <c r="O52" s="5"/>
    </row>
    <row r="53" spans="1:15" ht="14" customHeight="1" x14ac:dyDescent="0.45">
      <c r="A53" s="7">
        <v>45567</v>
      </c>
      <c r="B53" s="5" t="s">
        <v>36</v>
      </c>
      <c r="C53" s="5" t="s">
        <v>37</v>
      </c>
      <c r="D53" s="5">
        <v>3</v>
      </c>
      <c r="E53" s="5">
        <v>6</v>
      </c>
      <c r="F53" s="5">
        <v>2</v>
      </c>
      <c r="G53" s="7">
        <v>45598</v>
      </c>
      <c r="H53" s="5" t="s">
        <v>17</v>
      </c>
      <c r="I53" s="5">
        <v>6</v>
      </c>
      <c r="J53" s="5" t="s">
        <v>38</v>
      </c>
      <c r="K53" s="6">
        <f>IF(J53=[1]Legend!$A$66,[1]Legend!$B$66,(IF(J53=[1]Legend!$A$67,[1]Legend!$B$67,IF(J53=[1]Legend!$A$68, [1]Legend!$B$68, IF(J53=[1]Legend!$A$69, [1]Legend!$B$69, IF(J53=[1]Legend!$A$70, [1]Legend!$B$70, IF(J53=[1]Legend!$A$71, [1]Legend!$B$71, IF(J53=[1]Legend!$A$72, [1]Legend!$B$72, (IF(J53=[1]Legend!$A$73, [1]Legend!$B$73, IF(J53=[1]Legend!$A$74, [1]Legend!$B$74, "")))))))))))</f>
        <v>180</v>
      </c>
      <c r="L53" s="5">
        <v>178</v>
      </c>
      <c r="M53" s="5"/>
      <c r="N53" s="5"/>
      <c r="O53" s="5" t="s">
        <v>41</v>
      </c>
    </row>
    <row r="54" spans="1:15" ht="14" customHeight="1" x14ac:dyDescent="0.45">
      <c r="A54" s="7">
        <v>45567</v>
      </c>
      <c r="B54" s="5" t="s">
        <v>36</v>
      </c>
      <c r="C54" s="5" t="s">
        <v>37</v>
      </c>
      <c r="D54" s="5">
        <v>3</v>
      </c>
      <c r="E54" s="5">
        <v>7</v>
      </c>
      <c r="F54" s="5">
        <v>1</v>
      </c>
      <c r="G54" s="7">
        <v>45598</v>
      </c>
      <c r="H54" s="5" t="s">
        <v>17</v>
      </c>
      <c r="I54" s="5">
        <v>6</v>
      </c>
      <c r="J54" s="5" t="s">
        <v>38</v>
      </c>
      <c r="K54" s="6">
        <f>IF(J54=[1]Legend!$A$66,[1]Legend!$B$66,(IF(J54=[1]Legend!$A$67,[1]Legend!$B$67,IF(J54=[1]Legend!$A$68, [1]Legend!$B$68, IF(J54=[1]Legend!$A$69, [1]Legend!$B$69, IF(J54=[1]Legend!$A$70, [1]Legend!$B$70, IF(J54=[1]Legend!$A$71, [1]Legend!$B$71, IF(J54=[1]Legend!$A$72, [1]Legend!$B$72, (IF(J54=[1]Legend!$A$73, [1]Legend!$B$73, IF(J54=[1]Legend!$A$74, [1]Legend!$B$74, "")))))))))))</f>
        <v>180</v>
      </c>
      <c r="L54" s="5">
        <v>180</v>
      </c>
      <c r="M54" s="5"/>
      <c r="N54" s="5"/>
      <c r="O54" s="5" t="s">
        <v>41</v>
      </c>
    </row>
    <row r="55" spans="1:15" ht="14" customHeight="1" x14ac:dyDescent="0.45">
      <c r="A55" s="7">
        <v>45567</v>
      </c>
      <c r="B55" s="5" t="s">
        <v>36</v>
      </c>
      <c r="C55" s="5" t="s">
        <v>37</v>
      </c>
      <c r="D55" s="5">
        <v>3</v>
      </c>
      <c r="E55" s="5">
        <v>7</v>
      </c>
      <c r="F55" s="5">
        <v>2</v>
      </c>
      <c r="G55" s="7">
        <v>45598</v>
      </c>
      <c r="H55" s="5" t="s">
        <v>17</v>
      </c>
      <c r="I55" s="5">
        <v>6</v>
      </c>
      <c r="J55" s="5" t="s">
        <v>38</v>
      </c>
      <c r="K55" s="6">
        <f>IF(J55=[1]Legend!$A$66,[1]Legend!$B$66,(IF(J55=[1]Legend!$A$67,[1]Legend!$B$67,IF(J55=[1]Legend!$A$68, [1]Legend!$B$68, IF(J55=[1]Legend!$A$69, [1]Legend!$B$69, IF(J55=[1]Legend!$A$70, [1]Legend!$B$70, IF(J55=[1]Legend!$A$71, [1]Legend!$B$71, IF(J55=[1]Legend!$A$72, [1]Legend!$B$72, (IF(J55=[1]Legend!$A$73, [1]Legend!$B$73, IF(J55=[1]Legend!$A$74, [1]Legend!$B$74, "")))))))))))</f>
        <v>180</v>
      </c>
      <c r="L55" s="5">
        <v>180</v>
      </c>
      <c r="M55" s="5"/>
      <c r="N55" s="5"/>
      <c r="O55" s="5" t="s">
        <v>82</v>
      </c>
    </row>
    <row r="56" spans="1:15" ht="14" customHeight="1" x14ac:dyDescent="0.45">
      <c r="A56" s="7">
        <v>45567</v>
      </c>
      <c r="B56" s="5" t="s">
        <v>36</v>
      </c>
      <c r="C56" s="5" t="s">
        <v>37</v>
      </c>
      <c r="D56" s="5">
        <v>3</v>
      </c>
      <c r="E56" s="5">
        <v>8</v>
      </c>
      <c r="F56" s="5">
        <v>1</v>
      </c>
      <c r="G56" s="7">
        <v>45598</v>
      </c>
      <c r="H56" s="5" t="s">
        <v>17</v>
      </c>
      <c r="I56" s="5">
        <v>6</v>
      </c>
      <c r="J56" s="5" t="s">
        <v>38</v>
      </c>
      <c r="K56" s="6">
        <f>IF(J56=[1]Legend!$A$66,[1]Legend!$B$66,(IF(J56=[1]Legend!$A$67,[1]Legend!$B$67,IF(J56=[1]Legend!$A$68, [1]Legend!$B$68, IF(J56=[1]Legend!$A$69, [1]Legend!$B$69, IF(J56=[1]Legend!$A$70, [1]Legend!$B$70, IF(J56=[1]Legend!$A$71, [1]Legend!$B$71, IF(J56=[1]Legend!$A$72, [1]Legend!$B$72, (IF(J56=[1]Legend!$A$73, [1]Legend!$B$73, IF(J56=[1]Legend!$A$74, [1]Legend!$B$74, "")))))))))))</f>
        <v>180</v>
      </c>
      <c r="L56" s="5">
        <v>175</v>
      </c>
      <c r="M56" s="5">
        <v>3</v>
      </c>
      <c r="N56" s="5" t="s">
        <v>30</v>
      </c>
      <c r="O56" s="5"/>
    </row>
    <row r="57" spans="1:15" ht="14" customHeight="1" x14ac:dyDescent="0.45">
      <c r="A57" s="7">
        <v>45567</v>
      </c>
      <c r="B57" s="5" t="s">
        <v>36</v>
      </c>
      <c r="C57" s="5" t="s">
        <v>37</v>
      </c>
      <c r="D57" s="5">
        <v>3</v>
      </c>
      <c r="E57" s="5">
        <v>8</v>
      </c>
      <c r="F57" s="5">
        <v>2</v>
      </c>
      <c r="G57" s="7">
        <v>45601</v>
      </c>
      <c r="H57" s="5" t="s">
        <v>17</v>
      </c>
      <c r="I57" s="5">
        <v>6</v>
      </c>
      <c r="J57" s="5" t="s">
        <v>38</v>
      </c>
      <c r="K57" s="6">
        <f>IF(J57=[1]Legend!$A$66,[1]Legend!$B$66,(IF(J57=[1]Legend!$A$67,[1]Legend!$B$67,IF(J57=[1]Legend!$A$68, [1]Legend!$B$68, IF(J57=[1]Legend!$A$69, [1]Legend!$B$69, IF(J57=[1]Legend!$A$70, [1]Legend!$B$70, IF(J57=[1]Legend!$A$71, [1]Legend!$B$71, IF(J57=[1]Legend!$A$72, [1]Legend!$B$72, (IF(J57=[1]Legend!$A$73, [1]Legend!$B$73, IF(J57=[1]Legend!$A$74, [1]Legend!$B$74, "")))))))))))</f>
        <v>180</v>
      </c>
      <c r="L57" s="5">
        <v>180</v>
      </c>
      <c r="M57" s="5"/>
      <c r="N57" s="5"/>
      <c r="O57" s="5"/>
    </row>
    <row r="58" spans="1:15" ht="14" customHeight="1" x14ac:dyDescent="0.45">
      <c r="A58" s="7">
        <v>45567</v>
      </c>
      <c r="B58" s="5" t="s">
        <v>36</v>
      </c>
      <c r="C58" s="5" t="s">
        <v>37</v>
      </c>
      <c r="D58" s="5">
        <v>3</v>
      </c>
      <c r="E58" s="5">
        <v>9</v>
      </c>
      <c r="F58" s="5">
        <v>1</v>
      </c>
      <c r="G58" s="7">
        <v>45601</v>
      </c>
      <c r="H58" s="5" t="s">
        <v>17</v>
      </c>
      <c r="I58" s="5">
        <v>6</v>
      </c>
      <c r="J58" s="5" t="s">
        <v>38</v>
      </c>
      <c r="K58" s="6">
        <f>IF(J58=[1]Legend!$A$66,[1]Legend!$B$66,(IF(J58=[1]Legend!$A$67,[1]Legend!$B$67,IF(J58=[1]Legend!$A$68, [1]Legend!$B$68, IF(J58=[1]Legend!$A$69, [1]Legend!$B$69, IF(J58=[1]Legend!$A$70, [1]Legend!$B$70, IF(J58=[1]Legend!$A$71, [1]Legend!$B$71, IF(J58=[1]Legend!$A$72, [1]Legend!$B$72, (IF(J58=[1]Legend!$A$73, [1]Legend!$B$73, IF(J58=[1]Legend!$A$74, [1]Legend!$B$74, "")))))))))))</f>
        <v>180</v>
      </c>
      <c r="L58" s="5">
        <v>180</v>
      </c>
      <c r="M58" s="5"/>
      <c r="N58" s="5"/>
      <c r="O58" s="5"/>
    </row>
    <row r="59" spans="1:15" ht="14" customHeight="1" x14ac:dyDescent="0.45">
      <c r="A59" s="7">
        <v>45567</v>
      </c>
      <c r="B59" s="5" t="s">
        <v>36</v>
      </c>
      <c r="C59" s="5" t="s">
        <v>37</v>
      </c>
      <c r="D59" s="5">
        <v>3</v>
      </c>
      <c r="E59" s="5">
        <v>9</v>
      </c>
      <c r="F59" s="5">
        <v>2</v>
      </c>
      <c r="G59" s="7">
        <v>45601</v>
      </c>
      <c r="H59" s="5" t="s">
        <v>17</v>
      </c>
      <c r="I59" s="5">
        <v>6</v>
      </c>
      <c r="J59" s="5" t="s">
        <v>38</v>
      </c>
      <c r="K59" s="6">
        <f>IF(J59=[1]Legend!$A$66,[1]Legend!$B$66,(IF(J59=[1]Legend!$A$67,[1]Legend!$B$67,IF(J59=[1]Legend!$A$68, [1]Legend!$B$68, IF(J59=[1]Legend!$A$69, [1]Legend!$B$69, IF(J59=[1]Legend!$A$70, [1]Legend!$B$70, IF(J59=[1]Legend!$A$71, [1]Legend!$B$71, IF(J59=[1]Legend!$A$72, [1]Legend!$B$72, (IF(J59=[1]Legend!$A$73, [1]Legend!$B$73, IF(J59=[1]Legend!$A$74, [1]Legend!$B$74, "")))))))))))</f>
        <v>180</v>
      </c>
      <c r="L59" s="5">
        <v>179</v>
      </c>
      <c r="M59" s="5">
        <v>1</v>
      </c>
      <c r="N59" s="5" t="s">
        <v>21</v>
      </c>
      <c r="O59" s="5" t="s">
        <v>47</v>
      </c>
    </row>
    <row r="60" spans="1:15" ht="14" customHeight="1" x14ac:dyDescent="0.45">
      <c r="A60" s="7">
        <v>45567</v>
      </c>
      <c r="B60" s="5" t="s">
        <v>36</v>
      </c>
      <c r="C60" s="5" t="s">
        <v>37</v>
      </c>
      <c r="D60" s="5">
        <v>3</v>
      </c>
      <c r="E60" s="5">
        <v>10</v>
      </c>
      <c r="F60" s="5">
        <v>2</v>
      </c>
      <c r="G60" s="7">
        <v>45686</v>
      </c>
      <c r="H60" s="5" t="s">
        <v>91</v>
      </c>
      <c r="I60" s="5">
        <v>6</v>
      </c>
      <c r="J60" s="5" t="s">
        <v>38</v>
      </c>
      <c r="K60" s="6">
        <f>IF(J60=[12]Legend!$A$66,[12]Legend!$B$66,(IF(J60=[12]Legend!$A$67,[12]Legend!$B$67,IF(J60=[12]Legend!$A$68, [12]Legend!$B$68, IF(J60=[12]Legend!$A$69, [12]Legend!$B$69, IF(J60=[12]Legend!$A$70, [12]Legend!$B$70, IF(J60=[12]Legend!$A$71, [12]Legend!$B$71, IF(J60=[12]Legend!$A$72, [12]Legend!$B$72, (IF(J60=[12]Legend!$A$73, [12]Legend!$B$73, IF(J60=[12]Legend!$A$74, [12]Legend!$B$74, "")))))))))))</f>
        <v>180</v>
      </c>
      <c r="L60" s="5">
        <v>180</v>
      </c>
      <c r="M60" s="5">
        <v>0</v>
      </c>
      <c r="N60" s="5"/>
      <c r="O60" s="5" t="s">
        <v>140</v>
      </c>
    </row>
    <row r="61" spans="1:15" ht="14" customHeight="1" x14ac:dyDescent="0.45">
      <c r="A61" s="7">
        <v>45567</v>
      </c>
      <c r="B61" s="5" t="s">
        <v>36</v>
      </c>
      <c r="C61" s="5" t="s">
        <v>37</v>
      </c>
      <c r="D61" s="5">
        <v>3</v>
      </c>
      <c r="E61" s="5">
        <v>10</v>
      </c>
      <c r="F61" s="5">
        <v>1</v>
      </c>
      <c r="G61" s="7">
        <v>45686</v>
      </c>
      <c r="H61" s="5" t="s">
        <v>91</v>
      </c>
      <c r="I61" s="5">
        <v>6</v>
      </c>
      <c r="J61" s="5" t="s">
        <v>38</v>
      </c>
      <c r="K61" s="6">
        <f>IF(J61=[12]Legend!$A$66,[12]Legend!$B$66,(IF(J61=[12]Legend!$A$67,[12]Legend!$B$67,IF(J61=[12]Legend!$A$68, [12]Legend!$B$68, IF(J61=[12]Legend!$A$69, [12]Legend!$B$69, IF(J61=[12]Legend!$A$70, [12]Legend!$B$70, IF(J61=[12]Legend!$A$71, [12]Legend!$B$71, IF(J61=[12]Legend!$A$72, [12]Legend!$B$72, (IF(J61=[12]Legend!$A$73, [12]Legend!$B$73, IF(J61=[12]Legend!$A$74, [12]Legend!$B$74, "")))))))))))</f>
        <v>180</v>
      </c>
      <c r="L61" s="5">
        <v>180</v>
      </c>
      <c r="M61" s="5">
        <v>1</v>
      </c>
      <c r="N61" s="5" t="s">
        <v>21</v>
      </c>
      <c r="O61" s="5" t="s">
        <v>155</v>
      </c>
    </row>
  </sheetData>
  <sortState xmlns:xlrd2="http://schemas.microsoft.com/office/spreadsheetml/2017/richdata2" ref="A2:O65">
    <sortCondition ref="D1:D65"/>
  </sortState>
  <dataValidations count="4">
    <dataValidation type="whole" operator="lessThanOrEqual" allowBlank="1" showInputMessage="1" showErrorMessage="1" sqref="M43" xr:uid="{8A50E3B3-F1A3-4A6F-879B-B0EF0189F08E}">
      <formula1>K43</formula1>
    </dataValidation>
    <dataValidation type="whole" operator="lessThanOrEqual" allowBlank="1" showInputMessage="1" showErrorMessage="1" sqref="L43" xr:uid="{E6F5094D-E4DA-402D-ACFC-A8762F0541EF}">
      <formula1>K43</formula1>
    </dataValidation>
    <dataValidation type="whole" operator="lessThanOrEqual" allowBlank="1" showInputMessage="1" showErrorMessage="1" sqref="M55" xr:uid="{54FCFBC8-71FE-454E-A2EC-5D80B0DAE883}">
      <formula1>K55</formula1>
      <formula2>0</formula2>
    </dataValidation>
    <dataValidation type="whole" operator="lessThanOrEqual" allowBlank="1" showInputMessage="1" showErrorMessage="1" sqref="L55" xr:uid="{C35E0D3E-53BF-4ECB-9661-BB0E0F61C88D}">
      <formula1>K55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5CE3-6C2A-48C4-BABE-2C2B16F5B5E6}">
  <dimension ref="A1:Q181"/>
  <sheetViews>
    <sheetView workbookViewId="0">
      <selection activeCell="O181" sqref="A1:O181"/>
    </sheetView>
  </sheetViews>
  <sheetFormatPr baseColWidth="10" defaultRowHeight="14.25" x14ac:dyDescent="0.45"/>
  <sheetData>
    <row r="1" spans="1:17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7" ht="14" customHeight="1" x14ac:dyDescent="0.45">
      <c r="A2" s="3">
        <v>45556</v>
      </c>
      <c r="B2" s="4" t="s">
        <v>15</v>
      </c>
      <c r="C2" s="4" t="s">
        <v>16</v>
      </c>
      <c r="D2" s="4">
        <v>1</v>
      </c>
      <c r="E2" s="4">
        <v>1</v>
      </c>
      <c r="F2" s="4">
        <v>1</v>
      </c>
      <c r="G2" s="3">
        <v>45556</v>
      </c>
      <c r="H2" s="4" t="s">
        <v>17</v>
      </c>
      <c r="I2" s="4">
        <v>2</v>
      </c>
      <c r="J2" s="5" t="s">
        <v>18</v>
      </c>
      <c r="K2" s="6">
        <f>IF(J2=[1]Legend!$A$66,[1]Legend!$B$66,(IF(J2=[1]Legend!$A$67,[1]Legend!$B$67,IF(J2=[1]Legend!$A$68, [1]Legend!$B$68, IF(J2=[1]Legend!$A$69, [1]Legend!$B$69, IF(J2=[1]Legend!$A$70, [1]Legend!$B$70, IF(J2=[1]Legend!$A$71, [1]Legend!$B$71, IF(J2=[1]Legend!$A$72, [1]Legend!$B$72, (IF(J2=[1]Legend!$A$73, [1]Legend!$B$73, IF(J2=[1]Legend!$A$74, [1]Legend!$B$74, "")))))))))))</f>
        <v>5</v>
      </c>
      <c r="L2" s="5">
        <v>5</v>
      </c>
      <c r="M2" s="5"/>
      <c r="N2" s="5"/>
      <c r="O2" s="5"/>
      <c r="Q2" s="30" t="s">
        <v>176</v>
      </c>
    </row>
    <row r="3" spans="1:17" ht="14" customHeight="1" x14ac:dyDescent="0.45">
      <c r="A3" s="3">
        <v>45556</v>
      </c>
      <c r="B3" s="4" t="s">
        <v>15</v>
      </c>
      <c r="C3" s="4" t="s">
        <v>16</v>
      </c>
      <c r="D3" s="4">
        <v>1</v>
      </c>
      <c r="E3" s="4">
        <v>1</v>
      </c>
      <c r="F3" s="4">
        <v>1</v>
      </c>
      <c r="G3" s="3">
        <v>45556</v>
      </c>
      <c r="H3" s="4" t="s">
        <v>17</v>
      </c>
      <c r="I3" s="4">
        <v>2</v>
      </c>
      <c r="J3" s="5" t="s">
        <v>19</v>
      </c>
      <c r="K3" s="6">
        <f>IF(J3=[1]Legend!$A$66,[1]Legend!$B$66,(IF(J3=[1]Legend!$A$67,[1]Legend!$B$67,IF(J3=[1]Legend!$A$68, [1]Legend!$B$68, IF(J3=[1]Legend!$A$69, [1]Legend!$B$69, IF(J3=[1]Legend!$A$70, [1]Legend!$B$70, IF(J3=[1]Legend!$A$71, [1]Legend!$B$71, IF(J3=[1]Legend!$A$72, [1]Legend!$B$72, (IF(J3=[1]Legend!$A$73, [1]Legend!$B$73, IF(J3=[1]Legend!$A$74, [1]Legend!$B$74, "")))))))))))</f>
        <v>9</v>
      </c>
      <c r="L3" s="5">
        <v>9</v>
      </c>
      <c r="M3" s="5"/>
      <c r="N3" s="5"/>
      <c r="O3" s="5"/>
    </row>
    <row r="4" spans="1:17" ht="14" customHeight="1" x14ac:dyDescent="0.45">
      <c r="A4" s="3">
        <v>45556</v>
      </c>
      <c r="B4" s="4" t="s">
        <v>15</v>
      </c>
      <c r="C4" s="4" t="s">
        <v>16</v>
      </c>
      <c r="D4" s="4">
        <v>1</v>
      </c>
      <c r="E4" s="4">
        <v>1</v>
      </c>
      <c r="F4" s="4">
        <v>1</v>
      </c>
      <c r="G4" s="3">
        <v>45556</v>
      </c>
      <c r="H4" s="4" t="s">
        <v>17</v>
      </c>
      <c r="I4" s="4">
        <v>2</v>
      </c>
      <c r="J4" s="5" t="s">
        <v>20</v>
      </c>
      <c r="K4" s="6">
        <f>IF(J4=[1]Legend!$A$66,[1]Legend!$B$66,(IF(J4=[1]Legend!$A$67,[1]Legend!$B$67,IF(J4=[1]Legend!$A$68, [1]Legend!$B$68, IF(J4=[1]Legend!$A$69, [1]Legend!$B$69, IF(J4=[1]Legend!$A$70, [1]Legend!$B$70, IF(J4=[1]Legend!$A$71, [1]Legend!$B$71, IF(J4=[1]Legend!$A$72, [1]Legend!$B$72, (IF(J4=[1]Legend!$A$73, [1]Legend!$B$73, IF(J4=[1]Legend!$A$74, [1]Legend!$B$74, "")))))))))))</f>
        <v>35</v>
      </c>
      <c r="L4" s="5">
        <v>36</v>
      </c>
      <c r="M4" s="5">
        <v>2</v>
      </c>
      <c r="N4" s="5" t="s">
        <v>21</v>
      </c>
      <c r="O4" s="5" t="s">
        <v>22</v>
      </c>
    </row>
    <row r="5" spans="1:17" ht="14" customHeight="1" x14ac:dyDescent="0.45">
      <c r="A5" s="3">
        <v>45556</v>
      </c>
      <c r="B5" s="4" t="s">
        <v>15</v>
      </c>
      <c r="C5" s="4" t="s">
        <v>16</v>
      </c>
      <c r="D5" s="4">
        <v>1</v>
      </c>
      <c r="E5" s="4">
        <v>1</v>
      </c>
      <c r="F5" s="4">
        <v>2</v>
      </c>
      <c r="G5" s="3">
        <v>45556</v>
      </c>
      <c r="H5" s="4" t="s">
        <v>17</v>
      </c>
      <c r="I5" s="4">
        <v>2</v>
      </c>
      <c r="J5" s="5" t="s">
        <v>18</v>
      </c>
      <c r="K5" s="6">
        <f>IF(J5=[1]Legend!$A$66,[1]Legend!$B$66,(IF(J5=[1]Legend!$A$67,[1]Legend!$B$67,IF(J5=[1]Legend!$A$68, [1]Legend!$B$68, IF(J5=[1]Legend!$A$69, [1]Legend!$B$69, IF(J5=[1]Legend!$A$70, [1]Legend!$B$70, IF(J5=[1]Legend!$A$71, [1]Legend!$B$71, IF(J5=[1]Legend!$A$72, [1]Legend!$B$72, (IF(J5=[1]Legend!$A$73, [1]Legend!$B$73, IF(J5=[1]Legend!$A$74, [1]Legend!$B$74, "")))))))))))</f>
        <v>5</v>
      </c>
      <c r="L5" s="5">
        <v>5</v>
      </c>
      <c r="M5" s="5"/>
      <c r="N5" s="5"/>
      <c r="O5" s="5"/>
    </row>
    <row r="6" spans="1:17" ht="14" customHeight="1" x14ac:dyDescent="0.45">
      <c r="A6" s="3">
        <v>45556</v>
      </c>
      <c r="B6" s="4" t="s">
        <v>15</v>
      </c>
      <c r="C6" s="4" t="s">
        <v>16</v>
      </c>
      <c r="D6" s="4">
        <v>1</v>
      </c>
      <c r="E6" s="4">
        <v>1</v>
      </c>
      <c r="F6" s="4">
        <v>2</v>
      </c>
      <c r="G6" s="3">
        <v>45556</v>
      </c>
      <c r="H6" s="4" t="s">
        <v>17</v>
      </c>
      <c r="I6" s="4">
        <v>2</v>
      </c>
      <c r="J6" s="5" t="s">
        <v>19</v>
      </c>
      <c r="K6" s="6">
        <f>IF(J6=[1]Legend!$A$66,[1]Legend!$B$66,(IF(J6=[1]Legend!$A$67,[1]Legend!$B$67,IF(J6=[1]Legend!$A$68, [1]Legend!$B$68, IF(J6=[1]Legend!$A$69, [1]Legend!$B$69, IF(J6=[1]Legend!$A$70, [1]Legend!$B$70, IF(J6=[1]Legend!$A$71, [1]Legend!$B$71, IF(J6=[1]Legend!$A$72, [1]Legend!$B$72, (IF(J6=[1]Legend!$A$73, [1]Legend!$B$73, IF(J6=[1]Legend!$A$74, [1]Legend!$B$74, "")))))))))))</f>
        <v>9</v>
      </c>
      <c r="L6" s="5">
        <v>9</v>
      </c>
      <c r="M6" s="5">
        <v>2</v>
      </c>
      <c r="N6" s="5" t="s">
        <v>23</v>
      </c>
      <c r="O6" s="5"/>
    </row>
    <row r="7" spans="1:17" ht="14" customHeight="1" x14ac:dyDescent="0.45">
      <c r="A7" s="3">
        <v>45556</v>
      </c>
      <c r="B7" s="4" t="s">
        <v>15</v>
      </c>
      <c r="C7" s="4" t="s">
        <v>16</v>
      </c>
      <c r="D7" s="4">
        <v>1</v>
      </c>
      <c r="E7" s="4">
        <v>1</v>
      </c>
      <c r="F7" s="4">
        <v>2</v>
      </c>
      <c r="G7" s="3">
        <v>45556</v>
      </c>
      <c r="H7" s="4" t="s">
        <v>17</v>
      </c>
      <c r="I7" s="4">
        <v>2</v>
      </c>
      <c r="J7" s="5" t="s">
        <v>20</v>
      </c>
      <c r="K7" s="6">
        <f>IF(J7=[1]Legend!$A$66,[1]Legend!$B$66,(IF(J7=[1]Legend!$A$67,[1]Legend!$B$67,IF(J7=[1]Legend!$A$68, [1]Legend!$B$68, IF(J7=[1]Legend!$A$69, [1]Legend!$B$69, IF(J7=[1]Legend!$A$70, [1]Legend!$B$70, IF(J7=[1]Legend!$A$71, [1]Legend!$B$71, IF(J7=[1]Legend!$A$72, [1]Legend!$B$72, (IF(J7=[1]Legend!$A$73, [1]Legend!$B$73, IF(J7=[1]Legend!$A$74, [1]Legend!$B$74, "")))))))))))</f>
        <v>35</v>
      </c>
      <c r="L7" s="5">
        <v>35</v>
      </c>
      <c r="M7" s="5">
        <v>2</v>
      </c>
      <c r="N7" s="5" t="s">
        <v>21</v>
      </c>
      <c r="O7" s="5"/>
    </row>
    <row r="8" spans="1:17" ht="14" customHeight="1" x14ac:dyDescent="0.45">
      <c r="A8" s="7">
        <v>45526</v>
      </c>
      <c r="B8" s="5" t="s">
        <v>15</v>
      </c>
      <c r="C8" s="5" t="s">
        <v>16</v>
      </c>
      <c r="D8" s="5">
        <v>1</v>
      </c>
      <c r="E8" s="5">
        <v>2</v>
      </c>
      <c r="F8" s="5">
        <v>2</v>
      </c>
      <c r="G8" s="7">
        <v>45559</v>
      </c>
      <c r="H8" s="5" t="s">
        <v>108</v>
      </c>
      <c r="I8" s="5">
        <v>2</v>
      </c>
      <c r="J8" s="5" t="s">
        <v>20</v>
      </c>
      <c r="K8" s="6">
        <f>IF(J8=[7]Legend!$A$66,[7]Legend!$B$66,(IF(J8=[7]Legend!$A$67,[7]Legend!$B$67,IF(J8=[7]Legend!$A$68, [7]Legend!$B$68, IF(J8=[7]Legend!$A$69, [7]Legend!$B$69, IF(J8=[7]Legend!$A$70, [7]Legend!$B$70, IF(J8=[7]Legend!$A$71, [7]Legend!$B$71, IF(J8=[7]Legend!$A$72, [7]Legend!$B$72, (IF(J8=[7]Legend!$A$73, [7]Legend!$B$73, IF(J8=[7]Legend!$A$74, [7]Legend!$B$74, "")))))))))))</f>
        <v>35</v>
      </c>
      <c r="L8" s="5">
        <v>35</v>
      </c>
      <c r="M8" s="5"/>
      <c r="N8" s="5"/>
      <c r="O8" s="5"/>
    </row>
    <row r="9" spans="1:17" ht="14" customHeight="1" x14ac:dyDescent="0.45">
      <c r="A9" s="7">
        <v>45526</v>
      </c>
      <c r="B9" s="5" t="s">
        <v>15</v>
      </c>
      <c r="C9" s="5" t="s">
        <v>16</v>
      </c>
      <c r="D9" s="5">
        <v>1</v>
      </c>
      <c r="E9" s="5">
        <v>2</v>
      </c>
      <c r="F9" s="5">
        <v>2</v>
      </c>
      <c r="G9" s="7">
        <v>45559</v>
      </c>
      <c r="H9" s="5" t="s">
        <v>108</v>
      </c>
      <c r="I9" s="5">
        <v>2</v>
      </c>
      <c r="J9" s="5" t="s">
        <v>18</v>
      </c>
      <c r="K9" s="6">
        <f>IF(J9=[7]Legend!$A$66,[7]Legend!$B$66,(IF(J9=[7]Legend!$A$67,[7]Legend!$B$67,IF(J9=[7]Legend!$A$68, [7]Legend!$B$68, IF(J9=[7]Legend!$A$69, [7]Legend!$B$69, IF(J9=[7]Legend!$A$70, [7]Legend!$B$70, IF(J9=[7]Legend!$A$71, [7]Legend!$B$71, IF(J9=[7]Legend!$A$72, [7]Legend!$B$72, (IF(J9=[7]Legend!$A$73, [7]Legend!$B$73, IF(J9=[7]Legend!$A$74, [7]Legend!$B$74, "")))))))))))</f>
        <v>5</v>
      </c>
      <c r="L9" s="5">
        <v>5</v>
      </c>
      <c r="M9" s="5"/>
      <c r="N9" s="5"/>
      <c r="O9" s="5"/>
    </row>
    <row r="10" spans="1:17" ht="14" customHeight="1" x14ac:dyDescent="0.45">
      <c r="A10" s="7">
        <v>45526</v>
      </c>
      <c r="B10" s="5" t="s">
        <v>15</v>
      </c>
      <c r="C10" s="5" t="s">
        <v>16</v>
      </c>
      <c r="D10" s="5">
        <v>1</v>
      </c>
      <c r="E10" s="5">
        <v>2</v>
      </c>
      <c r="F10" s="5">
        <v>2</v>
      </c>
      <c r="G10" s="7">
        <v>45559</v>
      </c>
      <c r="H10" s="5" t="s">
        <v>108</v>
      </c>
      <c r="I10" s="5">
        <v>2</v>
      </c>
      <c r="J10" s="5" t="s">
        <v>19</v>
      </c>
      <c r="K10" s="6">
        <f>IF(J10=[7]Legend!$A$66,[7]Legend!$B$66,(IF(J10=[7]Legend!$A$67,[7]Legend!$B$67,IF(J10=[7]Legend!$A$68, [7]Legend!$B$68, IF(J10=[7]Legend!$A$69, [7]Legend!$B$69, IF(J10=[7]Legend!$A$70, [7]Legend!$B$70, IF(J10=[7]Legend!$A$71, [7]Legend!$B$71, IF(J10=[7]Legend!$A$72, [7]Legend!$B$72, (IF(J10=[7]Legend!$A$73, [7]Legend!$B$73, IF(J10=[7]Legend!$A$74, [7]Legend!$B$74, "")))))))))))</f>
        <v>9</v>
      </c>
      <c r="L10" s="5">
        <v>9</v>
      </c>
      <c r="M10" s="5"/>
      <c r="N10" s="5"/>
      <c r="O10" s="5"/>
    </row>
    <row r="11" spans="1:17" ht="14" customHeight="1" x14ac:dyDescent="0.45">
      <c r="A11" s="7">
        <v>45526</v>
      </c>
      <c r="B11" s="5" t="s">
        <v>15</v>
      </c>
      <c r="C11" s="5" t="s">
        <v>16</v>
      </c>
      <c r="D11" s="5">
        <v>1</v>
      </c>
      <c r="E11" s="5">
        <v>2</v>
      </c>
      <c r="F11" s="5">
        <v>1</v>
      </c>
      <c r="G11" s="7">
        <v>45559</v>
      </c>
      <c r="H11" s="5" t="s">
        <v>108</v>
      </c>
      <c r="I11" s="5">
        <v>2</v>
      </c>
      <c r="J11" s="5" t="s">
        <v>20</v>
      </c>
      <c r="K11" s="6">
        <f>IF(J11=[7]Legend!$A$66,[7]Legend!$B$66,(IF(J11=[7]Legend!$A$67,[7]Legend!$B$67,IF(J11=[7]Legend!$A$68, [7]Legend!$B$68, IF(J11=[7]Legend!$A$69, [7]Legend!$B$69, IF(J11=[7]Legend!$A$70, [7]Legend!$B$70, IF(J11=[7]Legend!$A$71, [7]Legend!$B$71, IF(J11=[7]Legend!$A$72, [7]Legend!$B$72, (IF(J11=[7]Legend!$A$73, [7]Legend!$B$73, IF(J11=[7]Legend!$A$74, [7]Legend!$B$74, "")))))))))))</f>
        <v>35</v>
      </c>
      <c r="L11" s="5">
        <v>35</v>
      </c>
      <c r="M11" s="5"/>
      <c r="N11" s="5"/>
      <c r="O11" s="5"/>
    </row>
    <row r="12" spans="1:17" ht="14" customHeight="1" x14ac:dyDescent="0.45">
      <c r="A12" s="7">
        <v>45526</v>
      </c>
      <c r="B12" s="5" t="s">
        <v>15</v>
      </c>
      <c r="C12" s="5" t="s">
        <v>16</v>
      </c>
      <c r="D12" s="5">
        <v>1</v>
      </c>
      <c r="E12" s="5">
        <v>2</v>
      </c>
      <c r="F12" s="5">
        <v>1</v>
      </c>
      <c r="G12" s="7">
        <v>45559</v>
      </c>
      <c r="H12" s="5" t="s">
        <v>108</v>
      </c>
      <c r="I12" s="5">
        <v>2</v>
      </c>
      <c r="J12" s="5" t="s">
        <v>18</v>
      </c>
      <c r="K12" s="6">
        <f>IF(J12=[7]Legend!$A$66,[7]Legend!$B$66,(IF(J12=[7]Legend!$A$67,[7]Legend!$B$67,IF(J12=[7]Legend!$A$68, [7]Legend!$B$68, IF(J12=[7]Legend!$A$69, [7]Legend!$B$69, IF(J12=[7]Legend!$A$70, [7]Legend!$B$70, IF(J12=[7]Legend!$A$71, [7]Legend!$B$71, IF(J12=[7]Legend!$A$72, [7]Legend!$B$72, (IF(J12=[7]Legend!$A$73, [7]Legend!$B$73, IF(J12=[7]Legend!$A$74, [7]Legend!$B$74, "")))))))))))</f>
        <v>5</v>
      </c>
      <c r="L12" s="5">
        <v>5</v>
      </c>
      <c r="M12" s="5"/>
      <c r="N12" s="5"/>
      <c r="O12" s="5"/>
    </row>
    <row r="13" spans="1:17" ht="14" customHeight="1" x14ac:dyDescent="0.45">
      <c r="A13" s="7">
        <v>45526</v>
      </c>
      <c r="B13" s="5" t="s">
        <v>15</v>
      </c>
      <c r="C13" s="5" t="s">
        <v>16</v>
      </c>
      <c r="D13" s="5">
        <v>1</v>
      </c>
      <c r="E13" s="5">
        <v>2</v>
      </c>
      <c r="F13" s="5">
        <v>1</v>
      </c>
      <c r="G13" s="7">
        <v>45559</v>
      </c>
      <c r="H13" s="5" t="s">
        <v>108</v>
      </c>
      <c r="I13" s="5">
        <v>2</v>
      </c>
      <c r="J13" s="5" t="s">
        <v>19</v>
      </c>
      <c r="K13" s="6">
        <f>IF(J13=[7]Legend!$A$66,[7]Legend!$B$66,(IF(J13=[7]Legend!$A$67,[7]Legend!$B$67,IF(J13=[7]Legend!$A$68, [7]Legend!$B$68, IF(J13=[7]Legend!$A$69, [7]Legend!$B$69, IF(J13=[7]Legend!$A$70, [7]Legend!$B$70, IF(J13=[7]Legend!$A$71, [7]Legend!$B$71, IF(J13=[7]Legend!$A$72, [7]Legend!$B$72, (IF(J13=[7]Legend!$A$73, [7]Legend!$B$73, IF(J13=[7]Legend!$A$74, [7]Legend!$B$74, "")))))))))))</f>
        <v>9</v>
      </c>
      <c r="L13" s="5">
        <v>9</v>
      </c>
      <c r="M13" s="5"/>
      <c r="N13" s="5"/>
      <c r="O13" s="5"/>
    </row>
    <row r="14" spans="1:17" ht="14" customHeight="1" x14ac:dyDescent="0.45">
      <c r="A14" s="3">
        <v>45556</v>
      </c>
      <c r="B14" s="4" t="s">
        <v>15</v>
      </c>
      <c r="C14" s="4" t="s">
        <v>16</v>
      </c>
      <c r="D14" s="4">
        <v>1</v>
      </c>
      <c r="E14" s="4">
        <v>3</v>
      </c>
      <c r="F14" s="4">
        <v>1</v>
      </c>
      <c r="G14" s="3">
        <v>45556</v>
      </c>
      <c r="H14" s="4" t="s">
        <v>17</v>
      </c>
      <c r="I14" s="4">
        <v>2</v>
      </c>
      <c r="J14" s="5" t="s">
        <v>18</v>
      </c>
      <c r="K14" s="6">
        <f>IF(J14=[1]Legend!$A$66,[1]Legend!$B$66,(IF(J14=[1]Legend!$A$67,[1]Legend!$B$67,IF(J14=[1]Legend!$A$68, [1]Legend!$B$68, IF(J14=[1]Legend!$A$69, [1]Legend!$B$69, IF(J14=[1]Legend!$A$70, [1]Legend!$B$70, IF(J14=[1]Legend!$A$71, [1]Legend!$B$71, IF(J14=[1]Legend!$A$72, [1]Legend!$B$72, (IF(J14=[1]Legend!$A$73, [1]Legend!$B$73, IF(J14=[1]Legend!$A$74, [1]Legend!$B$74, "")))))))))))</f>
        <v>5</v>
      </c>
      <c r="L14" s="5">
        <v>5</v>
      </c>
      <c r="M14" s="5"/>
      <c r="N14" s="5"/>
      <c r="O14" s="5"/>
    </row>
    <row r="15" spans="1:17" ht="14" customHeight="1" x14ac:dyDescent="0.45">
      <c r="A15" s="3">
        <v>45556</v>
      </c>
      <c r="B15" s="4" t="s">
        <v>15</v>
      </c>
      <c r="C15" s="4" t="s">
        <v>16</v>
      </c>
      <c r="D15" s="4">
        <v>1</v>
      </c>
      <c r="E15" s="4">
        <v>3</v>
      </c>
      <c r="F15" s="4">
        <v>1</v>
      </c>
      <c r="G15" s="3">
        <v>45556</v>
      </c>
      <c r="H15" s="4" t="s">
        <v>17</v>
      </c>
      <c r="I15" s="4">
        <v>2</v>
      </c>
      <c r="J15" s="5" t="s">
        <v>19</v>
      </c>
      <c r="K15" s="6">
        <f>IF(J15=[1]Legend!$A$66,[1]Legend!$B$66,(IF(J15=[1]Legend!$A$67,[1]Legend!$B$67,IF(J15=[1]Legend!$A$68, [1]Legend!$B$68, IF(J15=[1]Legend!$A$69, [1]Legend!$B$69, IF(J15=[1]Legend!$A$70, [1]Legend!$B$70, IF(J15=[1]Legend!$A$71, [1]Legend!$B$71, IF(J15=[1]Legend!$A$72, [1]Legend!$B$72, (IF(J15=[1]Legend!$A$73, [1]Legend!$B$73, IF(J15=[1]Legend!$A$74, [1]Legend!$B$74, "")))))))))))</f>
        <v>9</v>
      </c>
      <c r="L15" s="5">
        <v>9</v>
      </c>
      <c r="M15" s="5"/>
      <c r="N15" s="5"/>
      <c r="O15" s="5"/>
    </row>
    <row r="16" spans="1:17" ht="14" customHeight="1" x14ac:dyDescent="0.45">
      <c r="A16" s="3">
        <v>45556</v>
      </c>
      <c r="B16" s="4" t="s">
        <v>15</v>
      </c>
      <c r="C16" s="4" t="s">
        <v>16</v>
      </c>
      <c r="D16" s="4">
        <v>1</v>
      </c>
      <c r="E16" s="4">
        <v>3</v>
      </c>
      <c r="F16" s="4">
        <v>1</v>
      </c>
      <c r="G16" s="3">
        <v>45556</v>
      </c>
      <c r="H16" s="4" t="s">
        <v>17</v>
      </c>
      <c r="I16" s="4">
        <v>2</v>
      </c>
      <c r="J16" s="5" t="s">
        <v>20</v>
      </c>
      <c r="K16" s="6">
        <f>IF(J16=[1]Legend!$A$66,[1]Legend!$B$66,(IF(J16=[1]Legend!$A$67,[1]Legend!$B$67,IF(J16=[1]Legend!$A$68, [1]Legend!$B$68, IF(J16=[1]Legend!$A$69, [1]Legend!$B$69, IF(J16=[1]Legend!$A$70, [1]Legend!$B$70, IF(J16=[1]Legend!$A$71, [1]Legend!$B$71, IF(J16=[1]Legend!$A$72, [1]Legend!$B$72, (IF(J16=[1]Legend!$A$73, [1]Legend!$B$73, IF(J16=[1]Legend!$A$74, [1]Legend!$B$74, "")))))))))))</f>
        <v>35</v>
      </c>
      <c r="L16" s="5">
        <v>35</v>
      </c>
      <c r="M16" s="5"/>
      <c r="N16" s="5"/>
      <c r="O16" s="5"/>
    </row>
    <row r="17" spans="1:15" ht="14" customHeight="1" x14ac:dyDescent="0.45">
      <c r="A17" s="3">
        <v>45556</v>
      </c>
      <c r="B17" s="4" t="s">
        <v>15</v>
      </c>
      <c r="C17" s="4" t="s">
        <v>16</v>
      </c>
      <c r="D17" s="4">
        <v>1</v>
      </c>
      <c r="E17" s="4">
        <v>3</v>
      </c>
      <c r="F17" s="4">
        <v>2</v>
      </c>
      <c r="G17" s="3">
        <v>45556</v>
      </c>
      <c r="H17" s="4" t="s">
        <v>17</v>
      </c>
      <c r="I17" s="4">
        <v>2</v>
      </c>
      <c r="J17" s="5" t="s">
        <v>18</v>
      </c>
      <c r="K17" s="6">
        <f>IF(J17=[1]Legend!$A$66,[1]Legend!$B$66,(IF(J17=[1]Legend!$A$67,[1]Legend!$B$67,IF(J17=[1]Legend!$A$68, [1]Legend!$B$68, IF(J17=[1]Legend!$A$69, [1]Legend!$B$69, IF(J17=[1]Legend!$A$70, [1]Legend!$B$70, IF(J17=[1]Legend!$A$71, [1]Legend!$B$71, IF(J17=[1]Legend!$A$72, [1]Legend!$B$72, (IF(J17=[1]Legend!$A$73, [1]Legend!$B$73, IF(J17=[1]Legend!$A$74, [1]Legend!$B$74, "")))))))))))</f>
        <v>5</v>
      </c>
      <c r="L17" s="5">
        <v>5</v>
      </c>
      <c r="M17" s="5"/>
      <c r="N17" s="5"/>
      <c r="O17" s="5"/>
    </row>
    <row r="18" spans="1:15" ht="14" customHeight="1" x14ac:dyDescent="0.45">
      <c r="A18" s="3">
        <v>45556</v>
      </c>
      <c r="B18" s="4" t="s">
        <v>15</v>
      </c>
      <c r="C18" s="4" t="s">
        <v>16</v>
      </c>
      <c r="D18" s="4">
        <v>1</v>
      </c>
      <c r="E18" s="4">
        <v>3</v>
      </c>
      <c r="F18" s="4">
        <v>2</v>
      </c>
      <c r="G18" s="3">
        <v>45556</v>
      </c>
      <c r="H18" s="4" t="s">
        <v>17</v>
      </c>
      <c r="I18" s="4">
        <v>2</v>
      </c>
      <c r="J18" s="5" t="s">
        <v>19</v>
      </c>
      <c r="K18" s="6">
        <f>IF(J18=[1]Legend!$A$66,[1]Legend!$B$66,(IF(J18=[1]Legend!$A$67,[1]Legend!$B$67,IF(J18=[1]Legend!$A$68, [1]Legend!$B$68, IF(J18=[1]Legend!$A$69, [1]Legend!$B$69, IF(J18=[1]Legend!$A$70, [1]Legend!$B$70, IF(J18=[1]Legend!$A$71, [1]Legend!$B$71, IF(J18=[1]Legend!$A$72, [1]Legend!$B$72, (IF(J18=[1]Legend!$A$73, [1]Legend!$B$73, IF(J18=[1]Legend!$A$74, [1]Legend!$B$74, "")))))))))))</f>
        <v>9</v>
      </c>
      <c r="L18" s="5">
        <v>9</v>
      </c>
      <c r="M18" s="5"/>
      <c r="N18" s="5"/>
      <c r="O18" s="5"/>
    </row>
    <row r="19" spans="1:15" ht="14" customHeight="1" x14ac:dyDescent="0.45">
      <c r="A19" s="3">
        <v>45556</v>
      </c>
      <c r="B19" s="4" t="s">
        <v>15</v>
      </c>
      <c r="C19" s="4" t="s">
        <v>16</v>
      </c>
      <c r="D19" s="4">
        <v>1</v>
      </c>
      <c r="E19" s="4">
        <v>3</v>
      </c>
      <c r="F19" s="4">
        <v>2</v>
      </c>
      <c r="G19" s="3">
        <v>45556</v>
      </c>
      <c r="H19" s="4" t="s">
        <v>17</v>
      </c>
      <c r="I19" s="4">
        <v>2</v>
      </c>
      <c r="J19" s="5" t="s">
        <v>20</v>
      </c>
      <c r="K19" s="6">
        <f>IF(J19=[1]Legend!$A$66,[1]Legend!$B$66,(IF(J19=[1]Legend!$A$67,[1]Legend!$B$67,IF(J19=[1]Legend!$A$68, [1]Legend!$B$68, IF(J19=[1]Legend!$A$69, [1]Legend!$B$69, IF(J19=[1]Legend!$A$70, [1]Legend!$B$70, IF(J19=[1]Legend!$A$71, [1]Legend!$B$71, IF(J19=[1]Legend!$A$72, [1]Legend!$B$72, (IF(J19=[1]Legend!$A$73, [1]Legend!$B$73, IF(J19=[1]Legend!$A$74, [1]Legend!$B$74, "")))))))))))</f>
        <v>35</v>
      </c>
      <c r="L19" s="5">
        <v>35</v>
      </c>
      <c r="M19" s="5">
        <v>4</v>
      </c>
      <c r="N19" s="5" t="s">
        <v>21</v>
      </c>
      <c r="O19" s="5"/>
    </row>
    <row r="20" spans="1:15" ht="14" customHeight="1" x14ac:dyDescent="0.45">
      <c r="A20" s="3">
        <v>45556</v>
      </c>
      <c r="B20" s="4" t="s">
        <v>15</v>
      </c>
      <c r="C20" s="4" t="s">
        <v>16</v>
      </c>
      <c r="D20" s="4">
        <v>1</v>
      </c>
      <c r="E20" s="4">
        <v>4</v>
      </c>
      <c r="F20" s="4">
        <v>1</v>
      </c>
      <c r="G20" s="3">
        <v>45556</v>
      </c>
      <c r="H20" s="4" t="s">
        <v>17</v>
      </c>
      <c r="I20" s="4">
        <v>2</v>
      </c>
      <c r="J20" s="5" t="s">
        <v>18</v>
      </c>
      <c r="K20" s="6">
        <f>IF(J20=[1]Legend!$A$66,[1]Legend!$B$66,(IF(J20=[1]Legend!$A$67,[1]Legend!$B$67,IF(J20=[1]Legend!$A$68, [1]Legend!$B$68, IF(J20=[1]Legend!$A$69, [1]Legend!$B$69, IF(J20=[1]Legend!$A$70, [1]Legend!$B$70, IF(J20=[1]Legend!$A$71, [1]Legend!$B$71, IF(J20=[1]Legend!$A$72, [1]Legend!$B$72, (IF(J20=[1]Legend!$A$73, [1]Legend!$B$73, IF(J20=[1]Legend!$A$74, [1]Legend!$B$74, "")))))))))))</f>
        <v>5</v>
      </c>
      <c r="L20" s="5">
        <v>5</v>
      </c>
      <c r="M20" s="5"/>
      <c r="N20" s="5"/>
      <c r="O20" s="5"/>
    </row>
    <row r="21" spans="1:15" ht="14" customHeight="1" x14ac:dyDescent="0.45">
      <c r="A21" s="3">
        <v>45556</v>
      </c>
      <c r="B21" s="4" t="s">
        <v>15</v>
      </c>
      <c r="C21" s="4" t="s">
        <v>16</v>
      </c>
      <c r="D21" s="4">
        <v>1</v>
      </c>
      <c r="E21" s="4">
        <v>4</v>
      </c>
      <c r="F21" s="4">
        <v>1</v>
      </c>
      <c r="G21" s="3">
        <v>45556</v>
      </c>
      <c r="H21" s="4" t="s">
        <v>17</v>
      </c>
      <c r="I21" s="4">
        <v>2</v>
      </c>
      <c r="J21" s="5" t="s">
        <v>19</v>
      </c>
      <c r="K21" s="6">
        <f>IF(J21=[1]Legend!$A$66,[1]Legend!$B$66,(IF(J21=[1]Legend!$A$67,[1]Legend!$B$67,IF(J21=[1]Legend!$A$68, [1]Legend!$B$68, IF(J21=[1]Legend!$A$69, [1]Legend!$B$69, IF(J21=[1]Legend!$A$70, [1]Legend!$B$70, IF(J21=[1]Legend!$A$71, [1]Legend!$B$71, IF(J21=[1]Legend!$A$72, [1]Legend!$B$72, (IF(J21=[1]Legend!$A$73, [1]Legend!$B$73, IF(J21=[1]Legend!$A$74, [1]Legend!$B$74, "")))))))))))</f>
        <v>9</v>
      </c>
      <c r="L21" s="5">
        <v>9</v>
      </c>
      <c r="M21" s="5">
        <v>1</v>
      </c>
      <c r="N21" s="5" t="s">
        <v>21</v>
      </c>
      <c r="O21" s="5"/>
    </row>
    <row r="22" spans="1:15" ht="14" customHeight="1" x14ac:dyDescent="0.45">
      <c r="A22" s="3">
        <v>45556</v>
      </c>
      <c r="B22" s="4" t="s">
        <v>15</v>
      </c>
      <c r="C22" s="4" t="s">
        <v>16</v>
      </c>
      <c r="D22" s="4">
        <v>1</v>
      </c>
      <c r="E22" s="4">
        <v>4</v>
      </c>
      <c r="F22" s="4">
        <v>1</v>
      </c>
      <c r="G22" s="3">
        <v>45556</v>
      </c>
      <c r="H22" s="4" t="s">
        <v>17</v>
      </c>
      <c r="I22" s="4">
        <v>2</v>
      </c>
      <c r="J22" s="5" t="s">
        <v>20</v>
      </c>
      <c r="K22" s="6">
        <f>IF(J22=[1]Legend!$A$66,[1]Legend!$B$66,(IF(J22=[1]Legend!$A$67,[1]Legend!$B$67,IF(J22=[1]Legend!$A$68, [1]Legend!$B$68, IF(J22=[1]Legend!$A$69, [1]Legend!$B$69, IF(J22=[1]Legend!$A$70, [1]Legend!$B$70, IF(J22=[1]Legend!$A$71, [1]Legend!$B$71, IF(J22=[1]Legend!$A$72, [1]Legend!$B$72, (IF(J22=[1]Legend!$A$73, [1]Legend!$B$73, IF(J22=[1]Legend!$A$74, [1]Legend!$B$74, "")))))))))))</f>
        <v>35</v>
      </c>
      <c r="L22" s="5">
        <v>35</v>
      </c>
      <c r="M22" s="5"/>
      <c r="N22" s="5"/>
      <c r="O22" s="5"/>
    </row>
    <row r="23" spans="1:15" ht="14" customHeight="1" x14ac:dyDescent="0.45">
      <c r="A23" s="3">
        <v>45556</v>
      </c>
      <c r="B23" s="4" t="s">
        <v>15</v>
      </c>
      <c r="C23" s="4" t="s">
        <v>16</v>
      </c>
      <c r="D23" s="4">
        <v>1</v>
      </c>
      <c r="E23" s="4">
        <v>4</v>
      </c>
      <c r="F23" s="4">
        <v>2</v>
      </c>
      <c r="G23" s="3">
        <v>45556</v>
      </c>
      <c r="H23" s="4" t="s">
        <v>17</v>
      </c>
      <c r="I23" s="4">
        <v>2</v>
      </c>
      <c r="J23" s="5" t="s">
        <v>18</v>
      </c>
      <c r="K23" s="6">
        <f>IF(J23=[1]Legend!$A$66,[1]Legend!$B$66,(IF(J23=[1]Legend!$A$67,[1]Legend!$B$67,IF(J23=[1]Legend!$A$68, [1]Legend!$B$68, IF(J23=[1]Legend!$A$69, [1]Legend!$B$69, IF(J23=[1]Legend!$A$70, [1]Legend!$B$70, IF(J23=[1]Legend!$A$71, [1]Legend!$B$71, IF(J23=[1]Legend!$A$72, [1]Legend!$B$72, (IF(J23=[1]Legend!$A$73, [1]Legend!$B$73, IF(J23=[1]Legend!$A$74, [1]Legend!$B$74, "")))))))))))</f>
        <v>5</v>
      </c>
      <c r="L23" s="5">
        <v>5</v>
      </c>
      <c r="M23" s="5"/>
      <c r="N23" s="5"/>
      <c r="O23" s="5"/>
    </row>
    <row r="24" spans="1:15" ht="14" customHeight="1" x14ac:dyDescent="0.45">
      <c r="A24" s="3">
        <v>45556</v>
      </c>
      <c r="B24" s="4" t="s">
        <v>15</v>
      </c>
      <c r="C24" s="4" t="s">
        <v>16</v>
      </c>
      <c r="D24" s="4">
        <v>1</v>
      </c>
      <c r="E24" s="4">
        <v>4</v>
      </c>
      <c r="F24" s="4">
        <v>2</v>
      </c>
      <c r="G24" s="3">
        <v>45556</v>
      </c>
      <c r="H24" s="4" t="s">
        <v>17</v>
      </c>
      <c r="I24" s="4">
        <v>2</v>
      </c>
      <c r="J24" s="5" t="s">
        <v>19</v>
      </c>
      <c r="K24" s="6">
        <f>IF(J24=[1]Legend!$A$66,[1]Legend!$B$66,(IF(J24=[1]Legend!$A$67,[1]Legend!$B$67,IF(J24=[1]Legend!$A$68, [1]Legend!$B$68, IF(J24=[1]Legend!$A$69, [1]Legend!$B$69, IF(J24=[1]Legend!$A$70, [1]Legend!$B$70, IF(J24=[1]Legend!$A$71, [1]Legend!$B$71, IF(J24=[1]Legend!$A$72, [1]Legend!$B$72, (IF(J24=[1]Legend!$A$73, [1]Legend!$B$73, IF(J24=[1]Legend!$A$74, [1]Legend!$B$74, "")))))))))))</f>
        <v>9</v>
      </c>
      <c r="L24" s="5">
        <v>9</v>
      </c>
      <c r="M24" s="5"/>
      <c r="N24" s="5"/>
      <c r="O24" s="5"/>
    </row>
    <row r="25" spans="1:15" ht="14" customHeight="1" x14ac:dyDescent="0.45">
      <c r="A25" s="3">
        <v>45556</v>
      </c>
      <c r="B25" s="4" t="s">
        <v>15</v>
      </c>
      <c r="C25" s="4" t="s">
        <v>16</v>
      </c>
      <c r="D25" s="4">
        <v>1</v>
      </c>
      <c r="E25" s="4">
        <v>4</v>
      </c>
      <c r="F25" s="4">
        <v>2</v>
      </c>
      <c r="G25" s="3">
        <v>45556</v>
      </c>
      <c r="H25" s="4" t="s">
        <v>17</v>
      </c>
      <c r="I25" s="4">
        <v>2</v>
      </c>
      <c r="J25" s="5" t="s">
        <v>20</v>
      </c>
      <c r="K25" s="6">
        <f>IF(J25=[1]Legend!$A$66,[1]Legend!$B$66,(IF(J25=[1]Legend!$A$67,[1]Legend!$B$67,IF(J25=[1]Legend!$A$68, [1]Legend!$B$68, IF(J25=[1]Legend!$A$69, [1]Legend!$B$69, IF(J25=[1]Legend!$A$70, [1]Legend!$B$70, IF(J25=[1]Legend!$A$71, [1]Legend!$B$71, IF(J25=[1]Legend!$A$72, [1]Legend!$B$72, (IF(J25=[1]Legend!$A$73, [1]Legend!$B$73, IF(J25=[1]Legend!$A$74, [1]Legend!$B$74, "")))))))))))</f>
        <v>35</v>
      </c>
      <c r="L25" s="5">
        <v>35</v>
      </c>
      <c r="M25" s="5">
        <v>2</v>
      </c>
      <c r="N25" s="5" t="s">
        <v>21</v>
      </c>
      <c r="O25" s="5"/>
    </row>
    <row r="26" spans="1:15" ht="14" customHeight="1" x14ac:dyDescent="0.45">
      <c r="A26" s="3">
        <v>45556</v>
      </c>
      <c r="B26" s="4" t="s">
        <v>15</v>
      </c>
      <c r="C26" s="4" t="s">
        <v>16</v>
      </c>
      <c r="D26" s="4">
        <v>1</v>
      </c>
      <c r="E26" s="4">
        <v>5</v>
      </c>
      <c r="F26" s="4">
        <v>1</v>
      </c>
      <c r="G26" s="3">
        <v>45556</v>
      </c>
      <c r="H26" s="4" t="s">
        <v>17</v>
      </c>
      <c r="I26" s="4">
        <v>2</v>
      </c>
      <c r="J26" s="5" t="s">
        <v>18</v>
      </c>
      <c r="K26" s="6">
        <f>IF(J26=[1]Legend!$A$66,[1]Legend!$B$66,(IF(J26=[1]Legend!$A$67,[1]Legend!$B$67,IF(J26=[1]Legend!$A$68, [1]Legend!$B$68, IF(J26=[1]Legend!$A$69, [1]Legend!$B$69, IF(J26=[1]Legend!$A$70, [1]Legend!$B$70, IF(J26=[1]Legend!$A$71, [1]Legend!$B$71, IF(J26=[1]Legend!$A$72, [1]Legend!$B$72, (IF(J26=[1]Legend!$A$73, [1]Legend!$B$73, IF(J26=[1]Legend!$A$74, [1]Legend!$B$74, "")))))))))))</f>
        <v>5</v>
      </c>
      <c r="L26" s="5">
        <v>5</v>
      </c>
      <c r="M26" s="5"/>
      <c r="N26" s="5"/>
      <c r="O26" s="5"/>
    </row>
    <row r="27" spans="1:15" ht="14" customHeight="1" x14ac:dyDescent="0.45">
      <c r="A27" s="3">
        <v>45556</v>
      </c>
      <c r="B27" s="4" t="s">
        <v>15</v>
      </c>
      <c r="C27" s="4" t="s">
        <v>16</v>
      </c>
      <c r="D27" s="4">
        <v>1</v>
      </c>
      <c r="E27" s="4">
        <v>5</v>
      </c>
      <c r="F27" s="4">
        <v>1</v>
      </c>
      <c r="G27" s="3">
        <v>45556</v>
      </c>
      <c r="H27" s="4" t="s">
        <v>17</v>
      </c>
      <c r="I27" s="4">
        <v>2</v>
      </c>
      <c r="J27" s="5" t="s">
        <v>19</v>
      </c>
      <c r="K27" s="6">
        <f>IF(J27=[1]Legend!$A$66,[1]Legend!$B$66,(IF(J27=[1]Legend!$A$67,[1]Legend!$B$67,IF(J27=[1]Legend!$A$68, [1]Legend!$B$68, IF(J27=[1]Legend!$A$69, [1]Legend!$B$69, IF(J27=[1]Legend!$A$70, [1]Legend!$B$70, IF(J27=[1]Legend!$A$71, [1]Legend!$B$71, IF(J27=[1]Legend!$A$72, [1]Legend!$B$72, (IF(J27=[1]Legend!$A$73, [1]Legend!$B$73, IF(J27=[1]Legend!$A$74, [1]Legend!$B$74, "")))))))))))</f>
        <v>9</v>
      </c>
      <c r="L27" s="5">
        <v>9</v>
      </c>
      <c r="M27" s="5"/>
      <c r="N27" s="5"/>
      <c r="O27" s="5"/>
    </row>
    <row r="28" spans="1:15" ht="14" customHeight="1" x14ac:dyDescent="0.45">
      <c r="A28" s="3">
        <v>45556</v>
      </c>
      <c r="B28" s="4" t="s">
        <v>15</v>
      </c>
      <c r="C28" s="4" t="s">
        <v>16</v>
      </c>
      <c r="D28" s="4">
        <v>1</v>
      </c>
      <c r="E28" s="4">
        <v>5</v>
      </c>
      <c r="F28" s="4">
        <v>1</v>
      </c>
      <c r="G28" s="3">
        <v>45556</v>
      </c>
      <c r="H28" s="4" t="s">
        <v>17</v>
      </c>
      <c r="I28" s="4">
        <v>2</v>
      </c>
      <c r="J28" s="5" t="s">
        <v>20</v>
      </c>
      <c r="K28" s="6">
        <f>IF(J28=[1]Legend!$A$66,[1]Legend!$B$66,(IF(J28=[1]Legend!$A$67,[1]Legend!$B$67,IF(J28=[1]Legend!$A$68, [1]Legend!$B$68, IF(J28=[1]Legend!$A$69, [1]Legend!$B$69, IF(J28=[1]Legend!$A$70, [1]Legend!$B$70, IF(J28=[1]Legend!$A$71, [1]Legend!$B$71, IF(J28=[1]Legend!$A$72, [1]Legend!$B$72, (IF(J28=[1]Legend!$A$73, [1]Legend!$B$73, IF(J28=[1]Legend!$A$74, [1]Legend!$B$74, "")))))))))))</f>
        <v>35</v>
      </c>
      <c r="L28" s="5">
        <v>35</v>
      </c>
      <c r="M28" s="5">
        <v>1</v>
      </c>
      <c r="N28" s="5" t="s">
        <v>21</v>
      </c>
      <c r="O28" s="5"/>
    </row>
    <row r="29" spans="1:15" ht="14" customHeight="1" x14ac:dyDescent="0.45">
      <c r="A29" s="3">
        <v>45556</v>
      </c>
      <c r="B29" s="4" t="s">
        <v>15</v>
      </c>
      <c r="C29" s="4" t="s">
        <v>16</v>
      </c>
      <c r="D29" s="4">
        <v>1</v>
      </c>
      <c r="E29" s="4">
        <v>5</v>
      </c>
      <c r="F29" s="4">
        <v>2</v>
      </c>
      <c r="G29" s="3">
        <v>45556</v>
      </c>
      <c r="H29" s="4" t="s">
        <v>17</v>
      </c>
      <c r="I29" s="4">
        <v>2</v>
      </c>
      <c r="J29" s="5" t="s">
        <v>18</v>
      </c>
      <c r="K29" s="6">
        <f>IF(J29=[1]Legend!$A$66,[1]Legend!$B$66,(IF(J29=[1]Legend!$A$67,[1]Legend!$B$67,IF(J29=[1]Legend!$A$68, [1]Legend!$B$68, IF(J29=[1]Legend!$A$69, [1]Legend!$B$69, IF(J29=[1]Legend!$A$70, [1]Legend!$B$70, IF(J29=[1]Legend!$A$71, [1]Legend!$B$71, IF(J29=[1]Legend!$A$72, [1]Legend!$B$72, (IF(J29=[1]Legend!$A$73, [1]Legend!$B$73, IF(J29=[1]Legend!$A$74, [1]Legend!$B$74, "")))))))))))</f>
        <v>5</v>
      </c>
      <c r="L29" s="5">
        <v>5</v>
      </c>
      <c r="M29" s="5"/>
      <c r="N29" s="5"/>
      <c r="O29" s="5"/>
    </row>
    <row r="30" spans="1:15" ht="14" customHeight="1" x14ac:dyDescent="0.45">
      <c r="A30" s="3">
        <v>45556</v>
      </c>
      <c r="B30" s="4" t="s">
        <v>15</v>
      </c>
      <c r="C30" s="4" t="s">
        <v>16</v>
      </c>
      <c r="D30" s="4">
        <v>1</v>
      </c>
      <c r="E30" s="4">
        <v>5</v>
      </c>
      <c r="F30" s="4">
        <v>2</v>
      </c>
      <c r="G30" s="3">
        <v>45556</v>
      </c>
      <c r="H30" s="4" t="s">
        <v>17</v>
      </c>
      <c r="I30" s="4">
        <v>2</v>
      </c>
      <c r="J30" s="5" t="s">
        <v>19</v>
      </c>
      <c r="K30" s="6">
        <f>IF(J30=[1]Legend!$A$66,[1]Legend!$B$66,(IF(J30=[1]Legend!$A$67,[1]Legend!$B$67,IF(J30=[1]Legend!$A$68, [1]Legend!$B$68, IF(J30=[1]Legend!$A$69, [1]Legend!$B$69, IF(J30=[1]Legend!$A$70, [1]Legend!$B$70, IF(J30=[1]Legend!$A$71, [1]Legend!$B$71, IF(J30=[1]Legend!$A$72, [1]Legend!$B$72, (IF(J30=[1]Legend!$A$73, [1]Legend!$B$73, IF(J30=[1]Legend!$A$74, [1]Legend!$B$74, "")))))))))))</f>
        <v>9</v>
      </c>
      <c r="L30" s="5">
        <v>10</v>
      </c>
      <c r="M30" s="5">
        <v>1</v>
      </c>
      <c r="N30" s="5" t="s">
        <v>21</v>
      </c>
      <c r="O30" s="5" t="s">
        <v>22</v>
      </c>
    </row>
    <row r="31" spans="1:15" ht="14" customHeight="1" x14ac:dyDescent="0.45">
      <c r="A31" s="3">
        <v>45556</v>
      </c>
      <c r="B31" s="4" t="s">
        <v>15</v>
      </c>
      <c r="C31" s="4" t="s">
        <v>16</v>
      </c>
      <c r="D31" s="4">
        <v>1</v>
      </c>
      <c r="E31" s="4">
        <v>5</v>
      </c>
      <c r="F31" s="4">
        <v>2</v>
      </c>
      <c r="G31" s="3">
        <v>45556</v>
      </c>
      <c r="H31" s="4" t="s">
        <v>17</v>
      </c>
      <c r="I31" s="4">
        <v>2</v>
      </c>
      <c r="J31" s="5" t="s">
        <v>20</v>
      </c>
      <c r="K31" s="6">
        <f>IF(J31=[1]Legend!$A$66,[1]Legend!$B$66,(IF(J31=[1]Legend!$A$67,[1]Legend!$B$67,IF(J31=[1]Legend!$A$68, [1]Legend!$B$68, IF(J31=[1]Legend!$A$69, [1]Legend!$B$69, IF(J31=[1]Legend!$A$70, [1]Legend!$B$70, IF(J31=[1]Legend!$A$71, [1]Legend!$B$71, IF(J31=[1]Legend!$A$72, [1]Legend!$B$72, (IF(J31=[1]Legend!$A$73, [1]Legend!$B$73, IF(J31=[1]Legend!$A$74, [1]Legend!$B$74, "")))))))))))</f>
        <v>35</v>
      </c>
      <c r="L31" s="5">
        <v>35</v>
      </c>
      <c r="M31" s="5"/>
      <c r="N31" s="5"/>
      <c r="O31" s="5"/>
    </row>
    <row r="32" spans="1:15" ht="14" customHeight="1" x14ac:dyDescent="0.45">
      <c r="A32" s="7">
        <v>45526</v>
      </c>
      <c r="B32" s="5" t="s">
        <v>15</v>
      </c>
      <c r="C32" s="5" t="s">
        <v>16</v>
      </c>
      <c r="D32" s="5">
        <v>1</v>
      </c>
      <c r="E32" s="5">
        <v>6</v>
      </c>
      <c r="F32" s="5">
        <v>1</v>
      </c>
      <c r="G32" s="7">
        <v>45559</v>
      </c>
      <c r="H32" s="5" t="s">
        <v>108</v>
      </c>
      <c r="I32" s="5">
        <v>2</v>
      </c>
      <c r="J32" s="5" t="s">
        <v>20</v>
      </c>
      <c r="K32" s="6">
        <f>IF(J32=[7]Legend!$A$66,[7]Legend!$B$66,(IF(J32=[7]Legend!$A$67,[7]Legend!$B$67,IF(J32=[7]Legend!$A$68, [7]Legend!$B$68, IF(J32=[7]Legend!$A$69, [7]Legend!$B$69, IF(J32=[7]Legend!$A$70, [7]Legend!$B$70, IF(J32=[7]Legend!$A$71, [7]Legend!$B$71, IF(J32=[7]Legend!$A$72, [7]Legend!$B$72, (IF(J32=[7]Legend!$A$73, [7]Legend!$B$73, IF(J32=[7]Legend!$A$74, [7]Legend!$B$74, "")))))))))))</f>
        <v>35</v>
      </c>
      <c r="L32" s="5">
        <v>35</v>
      </c>
      <c r="M32" s="5"/>
      <c r="N32" s="5"/>
      <c r="O32" s="5"/>
    </row>
    <row r="33" spans="1:15" ht="14" customHeight="1" x14ac:dyDescent="0.45">
      <c r="A33" s="7">
        <v>45526</v>
      </c>
      <c r="B33" s="5" t="s">
        <v>15</v>
      </c>
      <c r="C33" s="5" t="s">
        <v>16</v>
      </c>
      <c r="D33" s="5">
        <v>1</v>
      </c>
      <c r="E33" s="5">
        <v>6</v>
      </c>
      <c r="F33" s="5">
        <v>1</v>
      </c>
      <c r="G33" s="7">
        <v>45559</v>
      </c>
      <c r="H33" s="5" t="s">
        <v>108</v>
      </c>
      <c r="I33" s="5">
        <v>2</v>
      </c>
      <c r="J33" s="5" t="s">
        <v>18</v>
      </c>
      <c r="K33" s="6">
        <f>IF(J33=[7]Legend!$A$66,[7]Legend!$B$66,(IF(J33=[7]Legend!$A$67,[7]Legend!$B$67,IF(J33=[7]Legend!$A$68, [7]Legend!$B$68, IF(J33=[7]Legend!$A$69, [7]Legend!$B$69, IF(J33=[7]Legend!$A$70, [7]Legend!$B$70, IF(J33=[7]Legend!$A$71, [7]Legend!$B$71, IF(J33=[7]Legend!$A$72, [7]Legend!$B$72, (IF(J33=[7]Legend!$A$73, [7]Legend!$B$73, IF(J33=[7]Legend!$A$74, [7]Legend!$B$74, "")))))))))))</f>
        <v>5</v>
      </c>
      <c r="L33" s="5">
        <v>5</v>
      </c>
      <c r="M33" s="5"/>
      <c r="N33" s="5"/>
      <c r="O33" s="5"/>
    </row>
    <row r="34" spans="1:15" ht="14" customHeight="1" x14ac:dyDescent="0.45">
      <c r="A34" s="7">
        <v>45526</v>
      </c>
      <c r="B34" s="5" t="s">
        <v>15</v>
      </c>
      <c r="C34" s="5" t="s">
        <v>16</v>
      </c>
      <c r="D34" s="5">
        <v>1</v>
      </c>
      <c r="E34" s="5">
        <v>6</v>
      </c>
      <c r="F34" s="5">
        <v>1</v>
      </c>
      <c r="G34" s="7">
        <v>45559</v>
      </c>
      <c r="H34" s="5" t="s">
        <v>108</v>
      </c>
      <c r="I34" s="5">
        <v>2</v>
      </c>
      <c r="J34" s="5" t="s">
        <v>19</v>
      </c>
      <c r="K34" s="6">
        <f>IF(J34=[7]Legend!$A$66,[7]Legend!$B$66,(IF(J34=[7]Legend!$A$67,[7]Legend!$B$67,IF(J34=[7]Legend!$A$68, [7]Legend!$B$68, IF(J34=[7]Legend!$A$69, [7]Legend!$B$69, IF(J34=[7]Legend!$A$70, [7]Legend!$B$70, IF(J34=[7]Legend!$A$71, [7]Legend!$B$71, IF(J34=[7]Legend!$A$72, [7]Legend!$B$72, (IF(J34=[7]Legend!$A$73, [7]Legend!$B$73, IF(J34=[7]Legend!$A$74, [7]Legend!$B$74, "")))))))))))</f>
        <v>9</v>
      </c>
      <c r="L34" s="5">
        <v>10</v>
      </c>
      <c r="M34" s="5"/>
      <c r="N34" s="5"/>
      <c r="O34" s="5" t="s">
        <v>112</v>
      </c>
    </row>
    <row r="35" spans="1:15" ht="14" customHeight="1" x14ac:dyDescent="0.45">
      <c r="A35" s="7">
        <v>45526</v>
      </c>
      <c r="B35" s="5" t="s">
        <v>15</v>
      </c>
      <c r="C35" s="5" t="s">
        <v>37</v>
      </c>
      <c r="D35" s="5">
        <v>1</v>
      </c>
      <c r="E35" s="5">
        <v>6</v>
      </c>
      <c r="F35" s="5">
        <v>2</v>
      </c>
      <c r="G35" s="7">
        <v>45559</v>
      </c>
      <c r="H35" s="5" t="s">
        <v>108</v>
      </c>
      <c r="I35" s="5">
        <v>2</v>
      </c>
      <c r="J35" s="5" t="s">
        <v>20</v>
      </c>
      <c r="K35" s="6">
        <f>IF(J35=[7]Legend!$A$66,[7]Legend!$B$66,(IF(J35=[7]Legend!$A$67,[7]Legend!$B$67,IF(J35=[7]Legend!$A$68, [7]Legend!$B$68, IF(J35=[7]Legend!$A$69, [7]Legend!$B$69, IF(J35=[7]Legend!$A$70, [7]Legend!$B$70, IF(J35=[7]Legend!$A$71, [7]Legend!$B$71, IF(J35=[7]Legend!$A$72, [7]Legend!$B$72, (IF(J35=[7]Legend!$A$73, [7]Legend!$B$73, IF(J35=[7]Legend!$A$74, [7]Legend!$B$74, "")))))))))))</f>
        <v>35</v>
      </c>
      <c r="L35" s="5">
        <v>35</v>
      </c>
      <c r="M35" s="5"/>
      <c r="N35" s="5"/>
      <c r="O35" s="5"/>
    </row>
    <row r="36" spans="1:15" ht="14" customHeight="1" x14ac:dyDescent="0.45">
      <c r="A36" s="7">
        <v>45526</v>
      </c>
      <c r="B36" s="5" t="s">
        <v>15</v>
      </c>
      <c r="C36" s="5" t="s">
        <v>37</v>
      </c>
      <c r="D36" s="5">
        <v>1</v>
      </c>
      <c r="E36" s="5">
        <v>6</v>
      </c>
      <c r="F36" s="5">
        <v>2</v>
      </c>
      <c r="G36" s="7">
        <v>45559</v>
      </c>
      <c r="H36" s="5" t="s">
        <v>108</v>
      </c>
      <c r="I36" s="5">
        <v>2</v>
      </c>
      <c r="J36" s="5" t="s">
        <v>18</v>
      </c>
      <c r="K36" s="6">
        <f>IF(J36=[7]Legend!$A$66,[7]Legend!$B$66,(IF(J36=[7]Legend!$A$67,[7]Legend!$B$67,IF(J36=[7]Legend!$A$68, [7]Legend!$B$68, IF(J36=[7]Legend!$A$69, [7]Legend!$B$69, IF(J36=[7]Legend!$A$70, [7]Legend!$B$70, IF(J36=[7]Legend!$A$71, [7]Legend!$B$71, IF(J36=[7]Legend!$A$72, [7]Legend!$B$72, (IF(J36=[7]Legend!$A$73, [7]Legend!$B$73, IF(J36=[7]Legend!$A$74, [7]Legend!$B$74, "")))))))))))</f>
        <v>5</v>
      </c>
      <c r="L36" s="5">
        <v>5</v>
      </c>
      <c r="M36" s="5"/>
      <c r="N36" s="5"/>
      <c r="O36" s="5"/>
    </row>
    <row r="37" spans="1:15" ht="14" customHeight="1" x14ac:dyDescent="0.45">
      <c r="A37" s="7">
        <v>45526</v>
      </c>
      <c r="B37" s="5" t="s">
        <v>15</v>
      </c>
      <c r="C37" s="5" t="s">
        <v>37</v>
      </c>
      <c r="D37" s="5">
        <v>1</v>
      </c>
      <c r="E37" s="5">
        <v>6</v>
      </c>
      <c r="F37" s="5">
        <v>2</v>
      </c>
      <c r="G37" s="7">
        <v>45559</v>
      </c>
      <c r="H37" s="5" t="s">
        <v>108</v>
      </c>
      <c r="I37" s="5">
        <v>2</v>
      </c>
      <c r="J37" s="5" t="s">
        <v>19</v>
      </c>
      <c r="K37" s="6">
        <f>IF(J37=[7]Legend!$A$66,[7]Legend!$B$66,(IF(J37=[7]Legend!$A$67,[7]Legend!$B$67,IF(J37=[7]Legend!$A$68, [7]Legend!$B$68, IF(J37=[7]Legend!$A$69, [7]Legend!$B$69, IF(J37=[7]Legend!$A$70, [7]Legend!$B$70, IF(J37=[7]Legend!$A$71, [7]Legend!$B$71, IF(J37=[7]Legend!$A$72, [7]Legend!$B$72, (IF(J37=[7]Legend!$A$73, [7]Legend!$B$73, IF(J37=[7]Legend!$A$74, [7]Legend!$B$74, "")))))))))))</f>
        <v>9</v>
      </c>
      <c r="L37" s="5">
        <v>9</v>
      </c>
      <c r="M37" s="5"/>
      <c r="N37" s="5"/>
      <c r="O37" s="5"/>
    </row>
    <row r="38" spans="1:15" ht="14" customHeight="1" x14ac:dyDescent="0.45">
      <c r="A38" s="7">
        <v>45526</v>
      </c>
      <c r="B38" s="5" t="s">
        <v>15</v>
      </c>
      <c r="C38" s="5" t="s">
        <v>37</v>
      </c>
      <c r="D38" s="5">
        <v>1</v>
      </c>
      <c r="E38" s="5">
        <v>7</v>
      </c>
      <c r="F38" s="5">
        <v>2</v>
      </c>
      <c r="G38" s="7">
        <v>45559</v>
      </c>
      <c r="H38" s="5" t="s">
        <v>108</v>
      </c>
      <c r="I38" s="5">
        <v>2</v>
      </c>
      <c r="J38" s="5" t="s">
        <v>20</v>
      </c>
      <c r="K38" s="6">
        <f>IF(J38=[7]Legend!$A$66,[7]Legend!$B$66,(IF(J38=[7]Legend!$A$67,[7]Legend!$B$67,IF(J38=[7]Legend!$A$68, [7]Legend!$B$68, IF(J38=[7]Legend!$A$69, [7]Legend!$B$69, IF(J38=[7]Legend!$A$70, [7]Legend!$B$70, IF(J38=[7]Legend!$A$71, [7]Legend!$B$71, IF(J38=[7]Legend!$A$72, [7]Legend!$B$72, (IF(J38=[7]Legend!$A$73, [7]Legend!$B$73, IF(J38=[7]Legend!$A$74, [7]Legend!$B$74, "")))))))))))</f>
        <v>35</v>
      </c>
      <c r="L38" s="5">
        <v>35</v>
      </c>
      <c r="M38" s="5">
        <v>1</v>
      </c>
      <c r="N38" s="5" t="s">
        <v>21</v>
      </c>
      <c r="O38" s="5"/>
    </row>
    <row r="39" spans="1:15" ht="14" customHeight="1" x14ac:dyDescent="0.45">
      <c r="A39" s="7">
        <v>45526</v>
      </c>
      <c r="B39" s="5" t="s">
        <v>15</v>
      </c>
      <c r="C39" s="5" t="s">
        <v>37</v>
      </c>
      <c r="D39" s="5">
        <v>1</v>
      </c>
      <c r="E39" s="5">
        <v>7</v>
      </c>
      <c r="F39" s="5">
        <v>2</v>
      </c>
      <c r="G39" s="7">
        <v>45559</v>
      </c>
      <c r="H39" s="5" t="s">
        <v>108</v>
      </c>
      <c r="I39" s="5">
        <v>2</v>
      </c>
      <c r="J39" s="5" t="s">
        <v>18</v>
      </c>
      <c r="K39" s="6">
        <f>IF(J39=[7]Legend!$A$66,[7]Legend!$B$66,(IF(J39=[7]Legend!$A$67,[7]Legend!$B$67,IF(J39=[7]Legend!$A$68, [7]Legend!$B$68, IF(J39=[7]Legend!$A$69, [7]Legend!$B$69, IF(J39=[7]Legend!$A$70, [7]Legend!$B$70, IF(J39=[7]Legend!$A$71, [7]Legend!$B$71, IF(J39=[7]Legend!$A$72, [7]Legend!$B$72, (IF(J39=[7]Legend!$A$73, [7]Legend!$B$73, IF(J39=[7]Legend!$A$74, [7]Legend!$B$74, "")))))))))))</f>
        <v>5</v>
      </c>
      <c r="L39" s="5">
        <v>5</v>
      </c>
      <c r="M39" s="5"/>
      <c r="N39" s="5"/>
      <c r="O39" s="5"/>
    </row>
    <row r="40" spans="1:15" ht="14" customHeight="1" x14ac:dyDescent="0.45">
      <c r="A40" s="7">
        <v>45526</v>
      </c>
      <c r="B40" s="5" t="s">
        <v>15</v>
      </c>
      <c r="C40" s="5" t="s">
        <v>37</v>
      </c>
      <c r="D40" s="5">
        <v>1</v>
      </c>
      <c r="E40" s="5">
        <v>7</v>
      </c>
      <c r="F40" s="5">
        <v>2</v>
      </c>
      <c r="G40" s="7">
        <v>45559</v>
      </c>
      <c r="H40" s="5" t="s">
        <v>108</v>
      </c>
      <c r="I40" s="5">
        <v>2</v>
      </c>
      <c r="J40" s="5" t="s">
        <v>19</v>
      </c>
      <c r="K40" s="6">
        <f>IF(J40=[7]Legend!$A$66,[7]Legend!$B$66,(IF(J40=[7]Legend!$A$67,[7]Legend!$B$67,IF(J40=[7]Legend!$A$68, [7]Legend!$B$68, IF(J40=[7]Legend!$A$69, [7]Legend!$B$69, IF(J40=[7]Legend!$A$70, [7]Legend!$B$70, IF(J40=[7]Legend!$A$71, [7]Legend!$B$71, IF(J40=[7]Legend!$A$72, [7]Legend!$B$72, (IF(J40=[7]Legend!$A$73, [7]Legend!$B$73, IF(J40=[7]Legend!$A$74, [7]Legend!$B$74, "")))))))))))</f>
        <v>9</v>
      </c>
      <c r="L40" s="5">
        <v>9</v>
      </c>
      <c r="M40" s="5"/>
      <c r="N40" s="5"/>
      <c r="O40" s="5"/>
    </row>
    <row r="41" spans="1:15" ht="14" customHeight="1" x14ac:dyDescent="0.45">
      <c r="A41" s="7">
        <v>45526</v>
      </c>
      <c r="B41" s="5" t="s">
        <v>15</v>
      </c>
      <c r="C41" s="5" t="s">
        <v>37</v>
      </c>
      <c r="D41" s="5">
        <v>1</v>
      </c>
      <c r="E41" s="5">
        <v>7</v>
      </c>
      <c r="F41" s="5">
        <v>1</v>
      </c>
      <c r="G41" s="7">
        <v>45559</v>
      </c>
      <c r="H41" s="5" t="s">
        <v>108</v>
      </c>
      <c r="I41" s="5">
        <v>2</v>
      </c>
      <c r="J41" s="5" t="s">
        <v>20</v>
      </c>
      <c r="K41" s="6">
        <f>IF(J41=[7]Legend!$A$66,[7]Legend!$B$66,(IF(J41=[7]Legend!$A$67,[7]Legend!$B$67,IF(J41=[7]Legend!$A$68, [7]Legend!$B$68, IF(J41=[7]Legend!$A$69, [7]Legend!$B$69, IF(J41=[7]Legend!$A$70, [7]Legend!$B$70, IF(J41=[7]Legend!$A$71, [7]Legend!$B$71, IF(J41=[7]Legend!$A$72, [7]Legend!$B$72, (IF(J41=[7]Legend!$A$73, [7]Legend!$B$73, IF(J41=[7]Legend!$A$74, [7]Legend!$B$74, "")))))))))))</f>
        <v>35</v>
      </c>
      <c r="L41" s="5">
        <v>35</v>
      </c>
      <c r="M41" s="5"/>
      <c r="N41" s="5"/>
      <c r="O41" s="5"/>
    </row>
    <row r="42" spans="1:15" ht="14" customHeight="1" x14ac:dyDescent="0.45">
      <c r="A42" s="7">
        <v>45526</v>
      </c>
      <c r="B42" s="5" t="s">
        <v>15</v>
      </c>
      <c r="C42" s="5" t="s">
        <v>37</v>
      </c>
      <c r="D42" s="5">
        <v>1</v>
      </c>
      <c r="E42" s="5">
        <v>7</v>
      </c>
      <c r="F42" s="5">
        <v>1</v>
      </c>
      <c r="G42" s="7">
        <v>45559</v>
      </c>
      <c r="H42" s="5" t="s">
        <v>108</v>
      </c>
      <c r="I42" s="5">
        <v>2</v>
      </c>
      <c r="J42" s="5" t="s">
        <v>18</v>
      </c>
      <c r="K42" s="6">
        <f>IF(J42=[7]Legend!$A$66,[7]Legend!$B$66,(IF(J42=[7]Legend!$A$67,[7]Legend!$B$67,IF(J42=[7]Legend!$A$68, [7]Legend!$B$68, IF(J42=[7]Legend!$A$69, [7]Legend!$B$69, IF(J42=[7]Legend!$A$70, [7]Legend!$B$70, IF(J42=[7]Legend!$A$71, [7]Legend!$B$71, IF(J42=[7]Legend!$A$72, [7]Legend!$B$72, (IF(J42=[7]Legend!$A$73, [7]Legend!$B$73, IF(J42=[7]Legend!$A$74, [7]Legend!$B$74, "")))))))))))</f>
        <v>5</v>
      </c>
      <c r="L42" s="5">
        <v>5</v>
      </c>
      <c r="M42" s="5"/>
      <c r="N42" s="5"/>
      <c r="O42" s="5"/>
    </row>
    <row r="43" spans="1:15" ht="14" customHeight="1" x14ac:dyDescent="0.45">
      <c r="A43" s="7">
        <v>45526</v>
      </c>
      <c r="B43" s="5" t="s">
        <v>15</v>
      </c>
      <c r="C43" s="5" t="s">
        <v>37</v>
      </c>
      <c r="D43" s="5">
        <v>1</v>
      </c>
      <c r="E43" s="5">
        <v>7</v>
      </c>
      <c r="F43" s="5">
        <v>1</v>
      </c>
      <c r="G43" s="7">
        <v>45559</v>
      </c>
      <c r="H43" s="5" t="s">
        <v>108</v>
      </c>
      <c r="I43" s="5">
        <v>2</v>
      </c>
      <c r="J43" s="5" t="s">
        <v>19</v>
      </c>
      <c r="K43" s="6">
        <f>IF(J43=[7]Legend!$A$66,[7]Legend!$B$66,(IF(J43=[7]Legend!$A$67,[7]Legend!$B$67,IF(J43=[7]Legend!$A$68, [7]Legend!$B$68, IF(J43=[7]Legend!$A$69, [7]Legend!$B$69, IF(J43=[7]Legend!$A$70, [7]Legend!$B$70, IF(J43=[7]Legend!$A$71, [7]Legend!$B$71, IF(J43=[7]Legend!$A$72, [7]Legend!$B$72, (IF(J43=[7]Legend!$A$73, [7]Legend!$B$73, IF(J43=[7]Legend!$A$74, [7]Legend!$B$74, "")))))))))))</f>
        <v>9</v>
      </c>
      <c r="L43" s="5">
        <v>9</v>
      </c>
      <c r="M43" s="5"/>
      <c r="N43" s="5"/>
      <c r="O43" s="5"/>
    </row>
    <row r="44" spans="1:15" ht="14" customHeight="1" x14ac:dyDescent="0.45">
      <c r="A44" s="7">
        <v>45526</v>
      </c>
      <c r="B44" s="5" t="s">
        <v>15</v>
      </c>
      <c r="C44" s="5" t="s">
        <v>37</v>
      </c>
      <c r="D44" s="5">
        <v>1</v>
      </c>
      <c r="E44" s="5">
        <v>8</v>
      </c>
      <c r="F44" s="5">
        <v>1</v>
      </c>
      <c r="G44" s="7">
        <v>45559</v>
      </c>
      <c r="H44" s="5" t="s">
        <v>108</v>
      </c>
      <c r="I44" s="5">
        <v>2</v>
      </c>
      <c r="J44" s="5" t="s">
        <v>20</v>
      </c>
      <c r="K44" s="6">
        <f>IF(J44=[7]Legend!$A$66,[7]Legend!$B$66,(IF(J44=[7]Legend!$A$67,[7]Legend!$B$67,IF(J44=[7]Legend!$A$68, [7]Legend!$B$68, IF(J44=[7]Legend!$A$69, [7]Legend!$B$69, IF(J44=[7]Legend!$A$70, [7]Legend!$B$70, IF(J44=[7]Legend!$A$71, [7]Legend!$B$71, IF(J44=[7]Legend!$A$72, [7]Legend!$B$72, (IF(J44=[7]Legend!$A$73, [7]Legend!$B$73, IF(J44=[7]Legend!$A$74, [7]Legend!$B$74, "")))))))))))</f>
        <v>35</v>
      </c>
      <c r="L44" s="5">
        <v>35</v>
      </c>
      <c r="M44" s="5">
        <v>1</v>
      </c>
      <c r="N44" s="5" t="s">
        <v>21</v>
      </c>
      <c r="O44" s="5"/>
    </row>
    <row r="45" spans="1:15" ht="14" customHeight="1" x14ac:dyDescent="0.45">
      <c r="A45" s="7">
        <v>45526</v>
      </c>
      <c r="B45" s="5" t="s">
        <v>15</v>
      </c>
      <c r="C45" s="5" t="s">
        <v>37</v>
      </c>
      <c r="D45" s="5">
        <v>1</v>
      </c>
      <c r="E45" s="5">
        <v>8</v>
      </c>
      <c r="F45" s="5">
        <v>1</v>
      </c>
      <c r="G45" s="7">
        <v>45559</v>
      </c>
      <c r="H45" s="5" t="s">
        <v>108</v>
      </c>
      <c r="I45" s="5">
        <v>2</v>
      </c>
      <c r="J45" s="5" t="s">
        <v>18</v>
      </c>
      <c r="K45" s="6">
        <f>IF(J45=[7]Legend!$A$66,[7]Legend!$B$66,(IF(J45=[7]Legend!$A$67,[7]Legend!$B$67,IF(J45=[7]Legend!$A$68, [7]Legend!$B$68, IF(J45=[7]Legend!$A$69, [7]Legend!$B$69, IF(J45=[7]Legend!$A$70, [7]Legend!$B$70, IF(J45=[7]Legend!$A$71, [7]Legend!$B$71, IF(J45=[7]Legend!$A$72, [7]Legend!$B$72, (IF(J45=[7]Legend!$A$73, [7]Legend!$B$73, IF(J45=[7]Legend!$A$74, [7]Legend!$B$74, "")))))))))))</f>
        <v>5</v>
      </c>
      <c r="L45" s="5">
        <v>5</v>
      </c>
      <c r="M45" s="5"/>
      <c r="N45" s="5"/>
      <c r="O45" s="5"/>
    </row>
    <row r="46" spans="1:15" ht="14" customHeight="1" x14ac:dyDescent="0.45">
      <c r="A46" s="7">
        <v>45526</v>
      </c>
      <c r="B46" s="5" t="s">
        <v>15</v>
      </c>
      <c r="C46" s="5" t="s">
        <v>37</v>
      </c>
      <c r="D46" s="5">
        <v>1</v>
      </c>
      <c r="E46" s="5">
        <v>8</v>
      </c>
      <c r="F46" s="5">
        <v>1</v>
      </c>
      <c r="G46" s="7">
        <v>45559</v>
      </c>
      <c r="H46" s="5" t="s">
        <v>108</v>
      </c>
      <c r="I46" s="5">
        <v>2</v>
      </c>
      <c r="J46" s="5" t="s">
        <v>19</v>
      </c>
      <c r="K46" s="6">
        <f>IF(J46=[7]Legend!$A$66,[7]Legend!$B$66,(IF(J46=[7]Legend!$A$67,[7]Legend!$B$67,IF(J46=[7]Legend!$A$68, [7]Legend!$B$68, IF(J46=[7]Legend!$A$69, [7]Legend!$B$69, IF(J46=[7]Legend!$A$70, [7]Legend!$B$70, IF(J46=[7]Legend!$A$71, [7]Legend!$B$71, IF(J46=[7]Legend!$A$72, [7]Legend!$B$72, (IF(J46=[7]Legend!$A$73, [7]Legend!$B$73, IF(J46=[7]Legend!$A$74, [7]Legend!$B$74, "")))))))))))</f>
        <v>9</v>
      </c>
      <c r="L46" s="5">
        <v>9</v>
      </c>
      <c r="M46" s="5"/>
      <c r="N46" s="5"/>
      <c r="O46" s="5"/>
    </row>
    <row r="47" spans="1:15" ht="14" customHeight="1" x14ac:dyDescent="0.45">
      <c r="A47" s="7">
        <v>45526</v>
      </c>
      <c r="B47" s="5" t="s">
        <v>15</v>
      </c>
      <c r="C47" s="5" t="s">
        <v>37</v>
      </c>
      <c r="D47" s="5">
        <v>1</v>
      </c>
      <c r="E47" s="5">
        <v>8</v>
      </c>
      <c r="F47" s="5">
        <v>2</v>
      </c>
      <c r="G47" s="7">
        <v>45559</v>
      </c>
      <c r="H47" s="5" t="s">
        <v>108</v>
      </c>
      <c r="I47" s="5">
        <v>2</v>
      </c>
      <c r="J47" s="5" t="s">
        <v>20</v>
      </c>
      <c r="K47" s="6">
        <f>IF(J47=[7]Legend!$A$66,[7]Legend!$B$66,(IF(J47=[7]Legend!$A$67,[7]Legend!$B$67,IF(J47=[7]Legend!$A$68, [7]Legend!$B$68, IF(J47=[7]Legend!$A$69, [7]Legend!$B$69, IF(J47=[7]Legend!$A$70, [7]Legend!$B$70, IF(J47=[7]Legend!$A$71, [7]Legend!$B$71, IF(J47=[7]Legend!$A$72, [7]Legend!$B$72, (IF(J47=[7]Legend!$A$73, [7]Legend!$B$73, IF(J47=[7]Legend!$A$74, [7]Legend!$B$74, "")))))))))))</f>
        <v>35</v>
      </c>
      <c r="L47" s="5">
        <v>35</v>
      </c>
      <c r="M47" s="5">
        <v>1</v>
      </c>
      <c r="N47" s="5"/>
      <c r="O47" s="5"/>
    </row>
    <row r="48" spans="1:15" ht="14" customHeight="1" x14ac:dyDescent="0.45">
      <c r="A48" s="7">
        <v>45526</v>
      </c>
      <c r="B48" s="5" t="s">
        <v>15</v>
      </c>
      <c r="C48" s="5" t="s">
        <v>37</v>
      </c>
      <c r="D48" s="5">
        <v>1</v>
      </c>
      <c r="E48" s="5">
        <v>8</v>
      </c>
      <c r="F48" s="5">
        <v>2</v>
      </c>
      <c r="G48" s="7">
        <v>45559</v>
      </c>
      <c r="H48" s="5" t="s">
        <v>108</v>
      </c>
      <c r="I48" s="5">
        <v>2</v>
      </c>
      <c r="J48" s="5" t="s">
        <v>18</v>
      </c>
      <c r="K48" s="6">
        <f>IF(J48=[7]Legend!$A$66,[7]Legend!$B$66,(IF(J48=[7]Legend!$A$67,[7]Legend!$B$67,IF(J48=[7]Legend!$A$68, [7]Legend!$B$68, IF(J48=[7]Legend!$A$69, [7]Legend!$B$69, IF(J48=[7]Legend!$A$70, [7]Legend!$B$70, IF(J48=[7]Legend!$A$71, [7]Legend!$B$71, IF(J48=[7]Legend!$A$72, [7]Legend!$B$72, (IF(J48=[7]Legend!$A$73, [7]Legend!$B$73, IF(J48=[7]Legend!$A$74, [7]Legend!$B$74, "")))))))))))</f>
        <v>5</v>
      </c>
      <c r="L48" s="5">
        <v>5</v>
      </c>
      <c r="M48" s="5"/>
      <c r="N48" s="5"/>
      <c r="O48" s="5"/>
    </row>
    <row r="49" spans="1:15" ht="14" customHeight="1" x14ac:dyDescent="0.45">
      <c r="A49" s="7">
        <v>45526</v>
      </c>
      <c r="B49" s="5" t="s">
        <v>15</v>
      </c>
      <c r="C49" s="5" t="s">
        <v>37</v>
      </c>
      <c r="D49" s="5">
        <v>1</v>
      </c>
      <c r="E49" s="5">
        <v>8</v>
      </c>
      <c r="F49" s="5">
        <v>2</v>
      </c>
      <c r="G49" s="7">
        <v>45559</v>
      </c>
      <c r="H49" s="5" t="s">
        <v>108</v>
      </c>
      <c r="I49" s="5">
        <v>2</v>
      </c>
      <c r="J49" s="5" t="s">
        <v>19</v>
      </c>
      <c r="K49" s="6">
        <f>IF(J49=[7]Legend!$A$66,[7]Legend!$B$66,(IF(J49=[7]Legend!$A$67,[7]Legend!$B$67,IF(J49=[7]Legend!$A$68, [7]Legend!$B$68, IF(J49=[7]Legend!$A$69, [7]Legend!$B$69, IF(J49=[7]Legend!$A$70, [7]Legend!$B$70, IF(J49=[7]Legend!$A$71, [7]Legend!$B$71, IF(J49=[7]Legend!$A$72, [7]Legend!$B$72, (IF(J49=[7]Legend!$A$73, [7]Legend!$B$73, IF(J49=[7]Legend!$A$74, [7]Legend!$B$74, "")))))))))))</f>
        <v>9</v>
      </c>
      <c r="L49" s="5">
        <v>9</v>
      </c>
      <c r="M49" s="5"/>
      <c r="N49" s="5"/>
      <c r="O49" s="5"/>
    </row>
    <row r="50" spans="1:15" ht="14" customHeight="1" x14ac:dyDescent="0.45">
      <c r="A50" s="7">
        <v>45526</v>
      </c>
      <c r="B50" s="5" t="s">
        <v>15</v>
      </c>
      <c r="C50" s="5" t="s">
        <v>37</v>
      </c>
      <c r="D50" s="5">
        <v>1</v>
      </c>
      <c r="E50" s="5">
        <v>9</v>
      </c>
      <c r="F50" s="5">
        <v>2</v>
      </c>
      <c r="G50" s="7">
        <v>45559</v>
      </c>
      <c r="H50" s="5" t="s">
        <v>108</v>
      </c>
      <c r="I50" s="5">
        <v>2</v>
      </c>
      <c r="J50" s="5" t="s">
        <v>20</v>
      </c>
      <c r="K50" s="6">
        <f>IF(J50=[7]Legend!$A$66,[7]Legend!$B$66,(IF(J50=[7]Legend!$A$67,[7]Legend!$B$67,IF(J50=[7]Legend!$A$68, [7]Legend!$B$68, IF(J50=[7]Legend!$A$69, [7]Legend!$B$69, IF(J50=[7]Legend!$A$70, [7]Legend!$B$70, IF(J50=[7]Legend!$A$71, [7]Legend!$B$71, IF(J50=[7]Legend!$A$72, [7]Legend!$B$72, (IF(J50=[7]Legend!$A$73, [7]Legend!$B$73, IF(J50=[7]Legend!$A$74, [7]Legend!$B$74, "")))))))))))</f>
        <v>35</v>
      </c>
      <c r="L50" s="5">
        <v>35</v>
      </c>
      <c r="M50" s="5">
        <v>2</v>
      </c>
      <c r="N50" s="5" t="s">
        <v>21</v>
      </c>
      <c r="O50" s="5"/>
    </row>
    <row r="51" spans="1:15" ht="14" customHeight="1" x14ac:dyDescent="0.45">
      <c r="A51" s="7">
        <v>45526</v>
      </c>
      <c r="B51" s="5" t="s">
        <v>15</v>
      </c>
      <c r="C51" s="5" t="s">
        <v>37</v>
      </c>
      <c r="D51" s="5">
        <v>1</v>
      </c>
      <c r="E51" s="5">
        <v>9</v>
      </c>
      <c r="F51" s="5">
        <v>2</v>
      </c>
      <c r="G51" s="7">
        <v>45559</v>
      </c>
      <c r="H51" s="5" t="s">
        <v>108</v>
      </c>
      <c r="I51" s="5">
        <v>2</v>
      </c>
      <c r="J51" s="5" t="s">
        <v>18</v>
      </c>
      <c r="K51" s="6">
        <f>IF(J51=[7]Legend!$A$66,[7]Legend!$B$66,(IF(J51=[7]Legend!$A$67,[7]Legend!$B$67,IF(J51=[7]Legend!$A$68, [7]Legend!$B$68, IF(J51=[7]Legend!$A$69, [7]Legend!$B$69, IF(J51=[7]Legend!$A$70, [7]Legend!$B$70, IF(J51=[7]Legend!$A$71, [7]Legend!$B$71, IF(J51=[7]Legend!$A$72, [7]Legend!$B$72, (IF(J51=[7]Legend!$A$73, [7]Legend!$B$73, IF(J51=[7]Legend!$A$74, [7]Legend!$B$74, "")))))))))))</f>
        <v>5</v>
      </c>
      <c r="L51" s="5">
        <v>5</v>
      </c>
      <c r="M51" s="5"/>
      <c r="N51" s="5"/>
      <c r="O51" s="5"/>
    </row>
    <row r="52" spans="1:15" ht="14" customHeight="1" x14ac:dyDescent="0.45">
      <c r="A52" s="7">
        <v>45526</v>
      </c>
      <c r="B52" s="5" t="s">
        <v>15</v>
      </c>
      <c r="C52" s="5" t="s">
        <v>37</v>
      </c>
      <c r="D52" s="5">
        <v>1</v>
      </c>
      <c r="E52" s="5">
        <v>9</v>
      </c>
      <c r="F52" s="5">
        <v>2</v>
      </c>
      <c r="G52" s="7">
        <v>45559</v>
      </c>
      <c r="H52" s="5" t="s">
        <v>108</v>
      </c>
      <c r="I52" s="5">
        <v>2</v>
      </c>
      <c r="J52" s="5" t="s">
        <v>19</v>
      </c>
      <c r="K52" s="6">
        <f>IF(J52=[7]Legend!$A$66,[7]Legend!$B$66,(IF(J52=[7]Legend!$A$67,[7]Legend!$B$67,IF(J52=[7]Legend!$A$68, [7]Legend!$B$68, IF(J52=[7]Legend!$A$69, [7]Legend!$B$69, IF(J52=[7]Legend!$A$70, [7]Legend!$B$70, IF(J52=[7]Legend!$A$71, [7]Legend!$B$71, IF(J52=[7]Legend!$A$72, [7]Legend!$B$72, (IF(J52=[7]Legend!$A$73, [7]Legend!$B$73, IF(J52=[7]Legend!$A$74, [7]Legend!$B$74, "")))))))))))</f>
        <v>9</v>
      </c>
      <c r="L52" s="5">
        <v>9</v>
      </c>
      <c r="M52" s="5"/>
      <c r="N52" s="5"/>
      <c r="O52" s="5"/>
    </row>
    <row r="53" spans="1:15" ht="14" customHeight="1" x14ac:dyDescent="0.45">
      <c r="A53" s="7">
        <v>45526</v>
      </c>
      <c r="B53" s="5" t="s">
        <v>15</v>
      </c>
      <c r="C53" s="5" t="s">
        <v>37</v>
      </c>
      <c r="D53" s="5">
        <v>1</v>
      </c>
      <c r="E53" s="5">
        <v>9</v>
      </c>
      <c r="F53" s="5">
        <v>1</v>
      </c>
      <c r="G53" s="7">
        <v>45559</v>
      </c>
      <c r="H53" s="5" t="s">
        <v>108</v>
      </c>
      <c r="I53" s="5">
        <v>2</v>
      </c>
      <c r="J53" s="5" t="s">
        <v>20</v>
      </c>
      <c r="K53" s="6">
        <f>IF(J53=[7]Legend!$A$66,[7]Legend!$B$66,(IF(J53=[7]Legend!$A$67,[7]Legend!$B$67,IF(J53=[7]Legend!$A$68, [7]Legend!$B$68, IF(J53=[7]Legend!$A$69, [7]Legend!$B$69, IF(J53=[7]Legend!$A$70, [7]Legend!$B$70, IF(J53=[7]Legend!$A$71, [7]Legend!$B$71, IF(J53=[7]Legend!$A$72, [7]Legend!$B$72, (IF(J53=[7]Legend!$A$73, [7]Legend!$B$73, IF(J53=[7]Legend!$A$74, [7]Legend!$B$74, "")))))))))))</f>
        <v>35</v>
      </c>
      <c r="L53" s="5">
        <v>35</v>
      </c>
      <c r="M53" s="5">
        <v>2</v>
      </c>
      <c r="N53" s="5" t="s">
        <v>21</v>
      </c>
      <c r="O53" s="5"/>
    </row>
    <row r="54" spans="1:15" ht="14" customHeight="1" x14ac:dyDescent="0.45">
      <c r="A54" s="7">
        <v>45526</v>
      </c>
      <c r="B54" s="5" t="s">
        <v>15</v>
      </c>
      <c r="C54" s="5" t="s">
        <v>37</v>
      </c>
      <c r="D54" s="5">
        <v>1</v>
      </c>
      <c r="E54" s="5">
        <v>9</v>
      </c>
      <c r="F54" s="5">
        <v>1</v>
      </c>
      <c r="G54" s="7">
        <v>45559</v>
      </c>
      <c r="H54" s="5" t="s">
        <v>108</v>
      </c>
      <c r="I54" s="5">
        <v>2</v>
      </c>
      <c r="J54" s="5" t="s">
        <v>18</v>
      </c>
      <c r="K54" s="6">
        <f>IF(J54=[7]Legend!$A$66,[7]Legend!$B$66,(IF(J54=[7]Legend!$A$67,[7]Legend!$B$67,IF(J54=[7]Legend!$A$68, [7]Legend!$B$68, IF(J54=[7]Legend!$A$69, [7]Legend!$B$69, IF(J54=[7]Legend!$A$70, [7]Legend!$B$70, IF(J54=[7]Legend!$A$71, [7]Legend!$B$71, IF(J54=[7]Legend!$A$72, [7]Legend!$B$72, (IF(J54=[7]Legend!$A$73, [7]Legend!$B$73, IF(J54=[7]Legend!$A$74, [7]Legend!$B$74, "")))))))))))</f>
        <v>5</v>
      </c>
      <c r="L54" s="5">
        <v>5</v>
      </c>
      <c r="M54" s="5"/>
      <c r="N54" s="5"/>
      <c r="O54" s="5"/>
    </row>
    <row r="55" spans="1:15" ht="14" customHeight="1" x14ac:dyDescent="0.45">
      <c r="A55" s="7">
        <v>45526</v>
      </c>
      <c r="B55" s="5" t="s">
        <v>15</v>
      </c>
      <c r="C55" s="5" t="s">
        <v>37</v>
      </c>
      <c r="D55" s="5">
        <v>1</v>
      </c>
      <c r="E55" s="5">
        <v>9</v>
      </c>
      <c r="F55" s="5">
        <v>1</v>
      </c>
      <c r="G55" s="7">
        <v>45559</v>
      </c>
      <c r="H55" s="5" t="s">
        <v>108</v>
      </c>
      <c r="I55" s="5">
        <v>2</v>
      </c>
      <c r="J55" s="5" t="s">
        <v>19</v>
      </c>
      <c r="K55" s="6">
        <f>IF(J55=[7]Legend!$A$66,[7]Legend!$B$66,(IF(J55=[7]Legend!$A$67,[7]Legend!$B$67,IF(J55=[7]Legend!$A$68, [7]Legend!$B$68, IF(J55=[7]Legend!$A$69, [7]Legend!$B$69, IF(J55=[7]Legend!$A$70, [7]Legend!$B$70, IF(J55=[7]Legend!$A$71, [7]Legend!$B$71, IF(J55=[7]Legend!$A$72, [7]Legend!$B$72, (IF(J55=[7]Legend!$A$73, [7]Legend!$B$73, IF(J55=[7]Legend!$A$74, [7]Legend!$B$74, "")))))))))))</f>
        <v>9</v>
      </c>
      <c r="L55" s="5">
        <v>9</v>
      </c>
      <c r="M55" s="5"/>
      <c r="N55" s="5"/>
      <c r="O55" s="5"/>
    </row>
    <row r="56" spans="1:15" ht="14" customHeight="1" x14ac:dyDescent="0.45">
      <c r="A56" s="7">
        <v>45526</v>
      </c>
      <c r="B56" s="5" t="s">
        <v>15</v>
      </c>
      <c r="C56" s="5"/>
      <c r="D56" s="5">
        <v>1</v>
      </c>
      <c r="E56" s="5">
        <v>10</v>
      </c>
      <c r="F56" s="5">
        <v>2</v>
      </c>
      <c r="G56" s="7">
        <v>45559</v>
      </c>
      <c r="H56" s="5" t="s">
        <v>108</v>
      </c>
      <c r="I56" s="5">
        <v>2</v>
      </c>
      <c r="J56" s="5" t="s">
        <v>20</v>
      </c>
      <c r="K56" s="6">
        <f>IF(J56=[7]Legend!$A$66,[7]Legend!$B$66,(IF(J56=[7]Legend!$A$67,[7]Legend!$B$67,IF(J56=[7]Legend!$A$68, [7]Legend!$B$68, IF(J56=[7]Legend!$A$69, [7]Legend!$B$69, IF(J56=[7]Legend!$A$70, [7]Legend!$B$70, IF(J56=[7]Legend!$A$71, [7]Legend!$B$71, IF(J56=[7]Legend!$A$72, [7]Legend!$B$72, (IF(J56=[7]Legend!$A$73, [7]Legend!$B$73, IF(J56=[7]Legend!$A$74, [7]Legend!$B$74, "")))))))))))</f>
        <v>35</v>
      </c>
      <c r="L56" s="5">
        <v>35</v>
      </c>
      <c r="M56" s="5">
        <v>1</v>
      </c>
      <c r="N56" s="5" t="s">
        <v>21</v>
      </c>
      <c r="O56" s="5" t="s">
        <v>109</v>
      </c>
    </row>
    <row r="57" spans="1:15" ht="14" customHeight="1" x14ac:dyDescent="0.45">
      <c r="A57" s="7">
        <v>45526</v>
      </c>
      <c r="B57" s="5" t="s">
        <v>15</v>
      </c>
      <c r="C57" s="5" t="s">
        <v>37</v>
      </c>
      <c r="D57" s="5">
        <v>1</v>
      </c>
      <c r="E57" s="5">
        <v>10</v>
      </c>
      <c r="F57" s="5">
        <v>2</v>
      </c>
      <c r="G57" s="7">
        <v>45559</v>
      </c>
      <c r="H57" s="5" t="s">
        <v>108</v>
      </c>
      <c r="I57" s="5">
        <v>2</v>
      </c>
      <c r="J57" s="5" t="s">
        <v>18</v>
      </c>
      <c r="K57" s="6">
        <f>IF(J57=[7]Legend!$A$66,[7]Legend!$B$66,(IF(J57=[7]Legend!$A$67,[7]Legend!$B$67,IF(J57=[7]Legend!$A$68, [7]Legend!$B$68, IF(J57=[7]Legend!$A$69, [7]Legend!$B$69, IF(J57=[7]Legend!$A$70, [7]Legend!$B$70, IF(J57=[7]Legend!$A$71, [7]Legend!$B$71, IF(J57=[7]Legend!$A$72, [7]Legend!$B$72, (IF(J57=[7]Legend!$A$73, [7]Legend!$B$73, IF(J57=[7]Legend!$A$74, [7]Legend!$B$74, "")))))))))))</f>
        <v>5</v>
      </c>
      <c r="L57" s="5">
        <v>5</v>
      </c>
      <c r="M57" s="5"/>
      <c r="N57" s="5"/>
      <c r="O57" s="5"/>
    </row>
    <row r="58" spans="1:15" ht="14" customHeight="1" x14ac:dyDescent="0.45">
      <c r="A58" s="7">
        <v>45526</v>
      </c>
      <c r="B58" s="5" t="s">
        <v>15</v>
      </c>
      <c r="C58" s="5" t="s">
        <v>37</v>
      </c>
      <c r="D58" s="5">
        <v>1</v>
      </c>
      <c r="E58" s="5">
        <v>10</v>
      </c>
      <c r="F58" s="5">
        <v>2</v>
      </c>
      <c r="G58" s="7">
        <v>45559</v>
      </c>
      <c r="H58" s="5" t="s">
        <v>108</v>
      </c>
      <c r="I58" s="5">
        <v>2</v>
      </c>
      <c r="J58" s="5" t="s">
        <v>19</v>
      </c>
      <c r="K58" s="6">
        <f>IF(J58=[7]Legend!$A$66,[7]Legend!$B$66,(IF(J58=[7]Legend!$A$67,[7]Legend!$B$67,IF(J58=[7]Legend!$A$68, [7]Legend!$B$68, IF(J58=[7]Legend!$A$69, [7]Legend!$B$69, IF(J58=[7]Legend!$A$70, [7]Legend!$B$70, IF(J58=[7]Legend!$A$71, [7]Legend!$B$71, IF(J58=[7]Legend!$A$72, [7]Legend!$B$72, (IF(J58=[7]Legend!$A$73, [7]Legend!$B$73, IF(J58=[7]Legend!$A$74, [7]Legend!$B$74, "")))))))))))</f>
        <v>9</v>
      </c>
      <c r="L58" s="5">
        <v>9</v>
      </c>
      <c r="M58" s="5"/>
      <c r="N58" s="5"/>
      <c r="O58" s="5"/>
    </row>
    <row r="59" spans="1:15" ht="14" customHeight="1" x14ac:dyDescent="0.45">
      <c r="A59" s="7">
        <v>45526</v>
      </c>
      <c r="B59" s="5" t="s">
        <v>15</v>
      </c>
      <c r="C59" s="5" t="s">
        <v>37</v>
      </c>
      <c r="D59" s="5">
        <v>1</v>
      </c>
      <c r="E59" s="5">
        <v>10</v>
      </c>
      <c r="F59" s="5">
        <v>1</v>
      </c>
      <c r="G59" s="7">
        <v>45559</v>
      </c>
      <c r="H59" s="5" t="s">
        <v>108</v>
      </c>
      <c r="I59" s="5">
        <v>2</v>
      </c>
      <c r="J59" s="5" t="s">
        <v>20</v>
      </c>
      <c r="K59" s="6">
        <f>IF(J59=[7]Legend!$A$66,[7]Legend!$B$66,(IF(J59=[7]Legend!$A$67,[7]Legend!$B$67,IF(J59=[7]Legend!$A$68, [7]Legend!$B$68, IF(J59=[7]Legend!$A$69, [7]Legend!$B$69, IF(J59=[7]Legend!$A$70, [7]Legend!$B$70, IF(J59=[7]Legend!$A$71, [7]Legend!$B$71, IF(J59=[7]Legend!$A$72, [7]Legend!$B$72, (IF(J59=[7]Legend!$A$73, [7]Legend!$B$73, IF(J59=[7]Legend!$A$74, [7]Legend!$B$74, "")))))))))))</f>
        <v>35</v>
      </c>
      <c r="L59" s="5">
        <v>36</v>
      </c>
      <c r="M59" s="5"/>
      <c r="N59" s="5"/>
      <c r="O59" s="5" t="s">
        <v>110</v>
      </c>
    </row>
    <row r="60" spans="1:15" ht="14" customHeight="1" x14ac:dyDescent="0.45">
      <c r="A60" s="7">
        <v>45526</v>
      </c>
      <c r="B60" s="5" t="s">
        <v>15</v>
      </c>
      <c r="C60" s="5" t="s">
        <v>37</v>
      </c>
      <c r="D60" s="5">
        <v>1</v>
      </c>
      <c r="E60" s="5">
        <v>10</v>
      </c>
      <c r="F60" s="5">
        <v>1</v>
      </c>
      <c r="G60" s="7">
        <v>45559</v>
      </c>
      <c r="H60" s="5" t="s">
        <v>108</v>
      </c>
      <c r="I60" s="5">
        <v>2</v>
      </c>
      <c r="J60" s="5" t="s">
        <v>18</v>
      </c>
      <c r="K60" s="6">
        <f>IF(J60=[7]Legend!$A$66,[7]Legend!$B$66,(IF(J60=[7]Legend!$A$67,[7]Legend!$B$67,IF(J60=[7]Legend!$A$68, [7]Legend!$B$68, IF(J60=[7]Legend!$A$69, [7]Legend!$B$69, IF(J60=[7]Legend!$A$70, [7]Legend!$B$70, IF(J60=[7]Legend!$A$71, [7]Legend!$B$71, IF(J60=[7]Legend!$A$72, [7]Legend!$B$72, (IF(J60=[7]Legend!$A$73, [7]Legend!$B$73, IF(J60=[7]Legend!$A$74, [7]Legend!$B$74, "")))))))))))</f>
        <v>5</v>
      </c>
      <c r="L60" s="5">
        <v>5</v>
      </c>
      <c r="M60" s="5"/>
      <c r="N60" s="5"/>
      <c r="O60" s="5"/>
    </row>
    <row r="61" spans="1:15" ht="14" customHeight="1" x14ac:dyDescent="0.45">
      <c r="A61" s="7">
        <v>45526</v>
      </c>
      <c r="B61" s="5" t="s">
        <v>15</v>
      </c>
      <c r="C61" s="5" t="s">
        <v>37</v>
      </c>
      <c r="D61" s="5">
        <v>1</v>
      </c>
      <c r="E61" s="5">
        <v>10</v>
      </c>
      <c r="F61" s="5">
        <v>1</v>
      </c>
      <c r="G61" s="7">
        <v>45559</v>
      </c>
      <c r="H61" s="5" t="s">
        <v>108</v>
      </c>
      <c r="I61" s="5">
        <v>2</v>
      </c>
      <c r="J61" s="5" t="s">
        <v>19</v>
      </c>
      <c r="K61" s="6">
        <f>IF(J61=[7]Legend!$A$66,[7]Legend!$B$66,(IF(J61=[7]Legend!$A$67,[7]Legend!$B$67,IF(J61=[7]Legend!$A$68, [7]Legend!$B$68, IF(J61=[7]Legend!$A$69, [7]Legend!$B$69, IF(J61=[7]Legend!$A$70, [7]Legend!$B$70, IF(J61=[7]Legend!$A$71, [7]Legend!$B$71, IF(J61=[7]Legend!$A$72, [7]Legend!$B$72, (IF(J61=[7]Legend!$A$73, [7]Legend!$B$73, IF(J61=[7]Legend!$A$74, [7]Legend!$B$74, "")))))))))))</f>
        <v>9</v>
      </c>
      <c r="L61" s="5">
        <v>9</v>
      </c>
      <c r="M61" s="5"/>
      <c r="N61" s="5"/>
      <c r="O61" s="5"/>
    </row>
    <row r="62" spans="1:15" ht="14" customHeight="1" x14ac:dyDescent="0.45">
      <c r="A62" s="7">
        <v>9008</v>
      </c>
      <c r="B62" s="5" t="s">
        <v>15</v>
      </c>
      <c r="C62" s="5" t="s">
        <v>90</v>
      </c>
      <c r="D62" s="5">
        <v>2</v>
      </c>
      <c r="E62" s="5">
        <v>1</v>
      </c>
      <c r="F62" s="5">
        <v>1</v>
      </c>
      <c r="G62" s="7">
        <v>9034</v>
      </c>
      <c r="H62" s="5" t="s">
        <v>17</v>
      </c>
      <c r="I62" s="5">
        <v>2</v>
      </c>
      <c r="J62" s="5" t="s">
        <v>18</v>
      </c>
      <c r="K62" s="6">
        <f>IF(J62=[6]Legend!$A$66,[6]Legend!$B$66,(IF(J62=[6]Legend!$A$67,[6]Legend!$B$67,IF(J62=[6]Legend!$A$68, [6]Legend!$B$68, IF(J62=[6]Legend!$A$69, [6]Legend!$B$69, IF(J62=[6]Legend!$A$70, [6]Legend!$B$70, IF(J62=[6]Legend!$A$71, [6]Legend!$B$71, IF(J62=[6]Legend!$A$72, [6]Legend!$B$72, (IF(J62=[6]Legend!$A$73, [6]Legend!$B$73, IF(J62=[6]Legend!$A$74, [6]Legend!$B$74, "")))))))))))</f>
        <v>5</v>
      </c>
      <c r="L62" s="5">
        <v>5</v>
      </c>
      <c r="M62" s="5"/>
      <c r="N62" s="5"/>
      <c r="O62" s="5"/>
    </row>
    <row r="63" spans="1:15" ht="14" customHeight="1" x14ac:dyDescent="0.45">
      <c r="A63" s="7">
        <v>9008</v>
      </c>
      <c r="B63" s="5" t="s">
        <v>15</v>
      </c>
      <c r="C63" s="5" t="s">
        <v>90</v>
      </c>
      <c r="D63" s="5">
        <v>2</v>
      </c>
      <c r="E63" s="5">
        <v>1</v>
      </c>
      <c r="F63" s="5">
        <v>1</v>
      </c>
      <c r="G63" s="7">
        <v>9034</v>
      </c>
      <c r="H63" s="5" t="s">
        <v>17</v>
      </c>
      <c r="I63" s="5">
        <v>2</v>
      </c>
      <c r="J63" s="5" t="s">
        <v>19</v>
      </c>
      <c r="K63" s="6">
        <f>IF(J63=[6]Legend!$A$66,[6]Legend!$B$66,(IF(J63=[6]Legend!$A$67,[6]Legend!$B$67,IF(J63=[6]Legend!$A$68, [6]Legend!$B$68, IF(J63=[6]Legend!$A$69, [6]Legend!$B$69, IF(J63=[6]Legend!$A$70, [6]Legend!$B$70, IF(J63=[6]Legend!$A$71, [6]Legend!$B$71, IF(J63=[6]Legend!$A$72, [6]Legend!$B$72, (IF(J63=[6]Legend!$A$73, [6]Legend!$B$73, IF(J63=[6]Legend!$A$74, [6]Legend!$B$74, "")))))))))))</f>
        <v>9</v>
      </c>
      <c r="L63" s="5">
        <v>9</v>
      </c>
      <c r="M63" s="5"/>
      <c r="N63" s="5"/>
      <c r="O63" s="5"/>
    </row>
    <row r="64" spans="1:15" ht="14" customHeight="1" x14ac:dyDescent="0.45">
      <c r="A64" s="7">
        <v>9008</v>
      </c>
      <c r="B64" s="5" t="s">
        <v>15</v>
      </c>
      <c r="C64" s="5" t="s">
        <v>90</v>
      </c>
      <c r="D64" s="5">
        <v>2</v>
      </c>
      <c r="E64" s="5">
        <v>1</v>
      </c>
      <c r="F64" s="5">
        <v>1</v>
      </c>
      <c r="G64" s="7">
        <v>9034</v>
      </c>
      <c r="H64" s="5" t="s">
        <v>17</v>
      </c>
      <c r="I64" s="5">
        <v>2</v>
      </c>
      <c r="J64" s="5" t="s">
        <v>20</v>
      </c>
      <c r="K64" s="6">
        <f>IF(J64=[6]Legend!$A$66,[6]Legend!$B$66,(IF(J64=[6]Legend!$A$67,[6]Legend!$B$67,IF(J64=[6]Legend!$A$68, [6]Legend!$B$68, IF(J64=[6]Legend!$A$69, [6]Legend!$B$69, IF(J64=[6]Legend!$A$70, [6]Legend!$B$70, IF(J64=[6]Legend!$A$71, [6]Legend!$B$71, IF(J64=[6]Legend!$A$72, [6]Legend!$B$72, (IF(J64=[6]Legend!$A$73, [6]Legend!$B$73, IF(J64=[6]Legend!$A$74, [6]Legend!$B$74, "")))))))))))</f>
        <v>35</v>
      </c>
      <c r="L64" s="5">
        <v>35</v>
      </c>
      <c r="M64" s="5"/>
      <c r="N64" s="5"/>
      <c r="O64" s="5"/>
    </row>
    <row r="65" spans="1:15" ht="14" customHeight="1" x14ac:dyDescent="0.45">
      <c r="A65" s="7">
        <v>9008</v>
      </c>
      <c r="B65" s="5" t="s">
        <v>15</v>
      </c>
      <c r="C65" s="5" t="s">
        <v>90</v>
      </c>
      <c r="D65" s="5">
        <v>2</v>
      </c>
      <c r="E65" s="5">
        <v>1</v>
      </c>
      <c r="F65" s="5">
        <v>2</v>
      </c>
      <c r="G65" s="7">
        <v>9034</v>
      </c>
      <c r="H65" s="5" t="s">
        <v>86</v>
      </c>
      <c r="I65" s="5">
        <v>2</v>
      </c>
      <c r="J65" s="5" t="s">
        <v>18</v>
      </c>
      <c r="K65" s="6">
        <f>IF(J65=[6]Legend!$A$66,[6]Legend!$B$66,(IF(J65=[6]Legend!$A$67,[6]Legend!$B$67,IF(J65=[6]Legend!$A$68, [6]Legend!$B$68, IF(J65=[6]Legend!$A$69, [6]Legend!$B$69, IF(J65=[6]Legend!$A$70, [6]Legend!$B$70, IF(J65=[6]Legend!$A$71, [6]Legend!$B$71, IF(J65=[6]Legend!$A$72, [6]Legend!$B$72, (IF(J65=[6]Legend!$A$73, [6]Legend!$B$73, IF(J65=[6]Legend!$A$74, [6]Legend!$B$74, "")))))))))))</f>
        <v>5</v>
      </c>
      <c r="L65" s="5">
        <v>5</v>
      </c>
      <c r="M65" s="5"/>
      <c r="N65" s="5"/>
      <c r="O65" s="5"/>
    </row>
    <row r="66" spans="1:15" ht="14" customHeight="1" x14ac:dyDescent="0.45">
      <c r="A66" s="7">
        <v>9008</v>
      </c>
      <c r="B66" s="5" t="s">
        <v>15</v>
      </c>
      <c r="C66" s="5" t="s">
        <v>90</v>
      </c>
      <c r="D66" s="5">
        <v>2</v>
      </c>
      <c r="E66" s="5">
        <v>1</v>
      </c>
      <c r="F66" s="5">
        <v>2</v>
      </c>
      <c r="G66" s="7">
        <v>9034</v>
      </c>
      <c r="H66" s="5" t="s">
        <v>86</v>
      </c>
      <c r="I66" s="5">
        <v>2</v>
      </c>
      <c r="J66" s="5" t="s">
        <v>19</v>
      </c>
      <c r="K66" s="6">
        <f>IF(J66=[6]Legend!$A$66,[6]Legend!$B$66,(IF(J66=[6]Legend!$A$67,[6]Legend!$B$67,IF(J66=[6]Legend!$A$68, [6]Legend!$B$68, IF(J66=[6]Legend!$A$69, [6]Legend!$B$69, IF(J66=[6]Legend!$A$70, [6]Legend!$B$70, IF(J66=[6]Legend!$A$71, [6]Legend!$B$71, IF(J66=[6]Legend!$A$72, [6]Legend!$B$72, (IF(J66=[6]Legend!$A$73, [6]Legend!$B$73, IF(J66=[6]Legend!$A$74, [6]Legend!$B$74, "")))))))))))</f>
        <v>9</v>
      </c>
      <c r="L66" s="5">
        <v>9</v>
      </c>
      <c r="M66" s="5"/>
      <c r="N66" s="5"/>
      <c r="O66" s="5"/>
    </row>
    <row r="67" spans="1:15" ht="14" customHeight="1" x14ac:dyDescent="0.45">
      <c r="A67" s="7">
        <v>9008</v>
      </c>
      <c r="B67" s="5" t="s">
        <v>15</v>
      </c>
      <c r="C67" s="5" t="s">
        <v>90</v>
      </c>
      <c r="D67" s="5">
        <v>2</v>
      </c>
      <c r="E67" s="5">
        <v>1</v>
      </c>
      <c r="F67" s="5">
        <v>2</v>
      </c>
      <c r="G67" s="7">
        <v>9034</v>
      </c>
      <c r="H67" s="5" t="s">
        <v>86</v>
      </c>
      <c r="I67" s="5">
        <v>2</v>
      </c>
      <c r="J67" s="5" t="s">
        <v>20</v>
      </c>
      <c r="K67" s="6">
        <f>IF(J67=[6]Legend!$A$66,[6]Legend!$B$66,(IF(J67=[6]Legend!$A$67,[6]Legend!$B$67,IF(J67=[6]Legend!$A$68, [6]Legend!$B$68, IF(J67=[6]Legend!$A$69, [6]Legend!$B$69, IF(J67=[6]Legend!$A$70, [6]Legend!$B$70, IF(J67=[6]Legend!$A$71, [6]Legend!$B$71, IF(J67=[6]Legend!$A$72, [6]Legend!$B$72, (IF(J67=[6]Legend!$A$73, [6]Legend!$B$73, IF(J67=[6]Legend!$A$74, [6]Legend!$B$74, "")))))))))))</f>
        <v>35</v>
      </c>
      <c r="L67" s="5">
        <v>34</v>
      </c>
      <c r="M67" s="5"/>
      <c r="N67" s="5"/>
      <c r="O67" s="5"/>
    </row>
    <row r="68" spans="1:15" ht="14" customHeight="1" x14ac:dyDescent="0.45">
      <c r="A68" s="7">
        <v>9008</v>
      </c>
      <c r="B68" s="5" t="s">
        <v>15</v>
      </c>
      <c r="C68" s="5" t="s">
        <v>90</v>
      </c>
      <c r="D68" s="5">
        <v>2</v>
      </c>
      <c r="E68" s="5">
        <v>2</v>
      </c>
      <c r="F68" s="5">
        <v>1</v>
      </c>
      <c r="G68" s="7">
        <v>9034</v>
      </c>
      <c r="H68" s="5" t="s">
        <v>86</v>
      </c>
      <c r="I68" s="5">
        <v>2</v>
      </c>
      <c r="J68" s="5" t="s">
        <v>18</v>
      </c>
      <c r="K68" s="6">
        <f>IF(J68=[6]Legend!$A$66,[6]Legend!$B$66,(IF(J68=[6]Legend!$A$67,[6]Legend!$B$67,IF(J68=[6]Legend!$A$68, [6]Legend!$B$68, IF(J68=[6]Legend!$A$69, [6]Legend!$B$69, IF(J68=[6]Legend!$A$70, [6]Legend!$B$70, IF(J68=[6]Legend!$A$71, [6]Legend!$B$71, IF(J68=[6]Legend!$A$72, [6]Legend!$B$72, (IF(J68=[6]Legend!$A$73, [6]Legend!$B$73, IF(J68=[6]Legend!$A$74, [6]Legend!$B$74, "")))))))))))</f>
        <v>5</v>
      </c>
      <c r="L68" s="5">
        <v>5</v>
      </c>
      <c r="M68" s="5"/>
      <c r="N68" s="5"/>
      <c r="O68" s="5"/>
    </row>
    <row r="69" spans="1:15" ht="14" customHeight="1" x14ac:dyDescent="0.45">
      <c r="A69" s="7">
        <v>9008</v>
      </c>
      <c r="B69" s="5" t="s">
        <v>15</v>
      </c>
      <c r="C69" s="5" t="s">
        <v>90</v>
      </c>
      <c r="D69" s="5">
        <v>2</v>
      </c>
      <c r="E69" s="5">
        <v>2</v>
      </c>
      <c r="F69" s="5">
        <v>1</v>
      </c>
      <c r="G69" s="7">
        <v>9034</v>
      </c>
      <c r="H69" s="5" t="s">
        <v>86</v>
      </c>
      <c r="I69" s="5">
        <v>2</v>
      </c>
      <c r="J69" s="5" t="s">
        <v>19</v>
      </c>
      <c r="K69" s="6">
        <f>IF(J69=[6]Legend!$A$66,[6]Legend!$B$66,(IF(J69=[6]Legend!$A$67,[6]Legend!$B$67,IF(J69=[6]Legend!$A$68, [6]Legend!$B$68, IF(J69=[6]Legend!$A$69, [6]Legend!$B$69, IF(J69=[6]Legend!$A$70, [6]Legend!$B$70, IF(J69=[6]Legend!$A$71, [6]Legend!$B$71, IF(J69=[6]Legend!$A$72, [6]Legend!$B$72, (IF(J69=[6]Legend!$A$73, [6]Legend!$B$73, IF(J69=[6]Legend!$A$74, [6]Legend!$B$74, "")))))))))))</f>
        <v>9</v>
      </c>
      <c r="L69" s="5">
        <v>9</v>
      </c>
      <c r="M69" s="5"/>
      <c r="N69" s="5"/>
      <c r="O69" s="5"/>
    </row>
    <row r="70" spans="1:15" ht="14" customHeight="1" x14ac:dyDescent="0.45">
      <c r="A70" s="7">
        <v>9008</v>
      </c>
      <c r="B70" s="5" t="s">
        <v>15</v>
      </c>
      <c r="C70" s="5" t="s">
        <v>90</v>
      </c>
      <c r="D70" s="5">
        <v>2</v>
      </c>
      <c r="E70" s="5">
        <v>2</v>
      </c>
      <c r="F70" s="5">
        <v>1</v>
      </c>
      <c r="G70" s="7">
        <v>9034</v>
      </c>
      <c r="H70" s="5" t="s">
        <v>86</v>
      </c>
      <c r="I70" s="5">
        <v>2</v>
      </c>
      <c r="J70" s="5" t="s">
        <v>20</v>
      </c>
      <c r="K70" s="6">
        <f>IF(J70=[6]Legend!$A$66,[6]Legend!$B$66,(IF(J70=[6]Legend!$A$67,[6]Legend!$B$67,IF(J70=[6]Legend!$A$68, [6]Legend!$B$68, IF(J70=[6]Legend!$A$69, [6]Legend!$B$69, IF(J70=[6]Legend!$A$70, [6]Legend!$B$70, IF(J70=[6]Legend!$A$71, [6]Legend!$B$71, IF(J70=[6]Legend!$A$72, [6]Legend!$B$72, (IF(J70=[6]Legend!$A$73, [6]Legend!$B$73, IF(J70=[6]Legend!$A$74, [6]Legend!$B$74, "")))))))))))</f>
        <v>35</v>
      </c>
      <c r="L70" s="5">
        <v>35</v>
      </c>
      <c r="M70" s="5">
        <v>3</v>
      </c>
      <c r="N70" s="5" t="s">
        <v>21</v>
      </c>
      <c r="O70" s="5" t="s">
        <v>107</v>
      </c>
    </row>
    <row r="71" spans="1:15" ht="14" customHeight="1" x14ac:dyDescent="0.45">
      <c r="A71" s="7">
        <v>9008</v>
      </c>
      <c r="B71" s="5" t="s">
        <v>15</v>
      </c>
      <c r="C71" s="5" t="s">
        <v>90</v>
      </c>
      <c r="D71" s="5">
        <v>2</v>
      </c>
      <c r="E71" s="5">
        <v>2</v>
      </c>
      <c r="F71" s="5">
        <v>2</v>
      </c>
      <c r="G71" s="7">
        <v>9034</v>
      </c>
      <c r="H71" s="5" t="s">
        <v>86</v>
      </c>
      <c r="I71" s="5">
        <v>2</v>
      </c>
      <c r="J71" s="5" t="s">
        <v>18</v>
      </c>
      <c r="K71" s="6">
        <f>IF(J71=[6]Legend!$A$66,[6]Legend!$B$66,(IF(J71=[6]Legend!$A$67,[6]Legend!$B$67,IF(J71=[6]Legend!$A$68, [6]Legend!$B$68, IF(J71=[6]Legend!$A$69, [6]Legend!$B$69, IF(J71=[6]Legend!$A$70, [6]Legend!$B$70, IF(J71=[6]Legend!$A$71, [6]Legend!$B$71, IF(J71=[6]Legend!$A$72, [6]Legend!$B$72, (IF(J71=[6]Legend!$A$73, [6]Legend!$B$73, IF(J71=[6]Legend!$A$74, [6]Legend!$B$74, "")))))))))))</f>
        <v>5</v>
      </c>
      <c r="L71" s="5">
        <v>5</v>
      </c>
      <c r="M71" s="5"/>
      <c r="N71" s="5"/>
      <c r="O71" s="5"/>
    </row>
    <row r="72" spans="1:15" ht="14" customHeight="1" x14ac:dyDescent="0.45">
      <c r="A72" s="7">
        <v>9008</v>
      </c>
      <c r="B72" s="5" t="s">
        <v>15</v>
      </c>
      <c r="C72" s="5" t="s">
        <v>90</v>
      </c>
      <c r="D72" s="5">
        <v>2</v>
      </c>
      <c r="E72" s="5">
        <v>2</v>
      </c>
      <c r="F72" s="5">
        <v>2</v>
      </c>
      <c r="G72" s="7">
        <v>9034</v>
      </c>
      <c r="H72" s="5" t="s">
        <v>86</v>
      </c>
      <c r="I72" s="5">
        <v>2</v>
      </c>
      <c r="J72" s="5" t="s">
        <v>19</v>
      </c>
      <c r="K72" s="6">
        <f>IF(J72=[6]Legend!$A$66,[6]Legend!$B$66,(IF(J72=[6]Legend!$A$67,[6]Legend!$B$67,IF(J72=[6]Legend!$A$68, [6]Legend!$B$68, IF(J72=[6]Legend!$A$69, [6]Legend!$B$69, IF(J72=[6]Legend!$A$70, [6]Legend!$B$70, IF(J72=[6]Legend!$A$71, [6]Legend!$B$71, IF(J72=[6]Legend!$A$72, [6]Legend!$B$72, (IF(J72=[6]Legend!$A$73, [6]Legend!$B$73, IF(J72=[6]Legend!$A$74, [6]Legend!$B$74, "")))))))))))</f>
        <v>9</v>
      </c>
      <c r="L72" s="5">
        <v>9</v>
      </c>
      <c r="M72" s="5"/>
      <c r="N72" s="5"/>
      <c r="O72" s="5"/>
    </row>
    <row r="73" spans="1:15" ht="14" customHeight="1" x14ac:dyDescent="0.45">
      <c r="A73" s="7">
        <v>9008</v>
      </c>
      <c r="B73" s="5" t="s">
        <v>15</v>
      </c>
      <c r="C73" s="5" t="s">
        <v>90</v>
      </c>
      <c r="D73" s="5">
        <v>2</v>
      </c>
      <c r="E73" s="5">
        <v>2</v>
      </c>
      <c r="F73" s="5">
        <v>2</v>
      </c>
      <c r="G73" s="7">
        <v>9034</v>
      </c>
      <c r="H73" s="5" t="s">
        <v>86</v>
      </c>
      <c r="I73" s="5">
        <v>2</v>
      </c>
      <c r="J73" s="5" t="s">
        <v>20</v>
      </c>
      <c r="K73" s="6">
        <f>IF(J73=[6]Legend!$A$66,[6]Legend!$B$66,(IF(J73=[6]Legend!$A$67,[6]Legend!$B$67,IF(J73=[6]Legend!$A$68, [6]Legend!$B$68, IF(J73=[6]Legend!$A$69, [6]Legend!$B$69, IF(J73=[6]Legend!$A$70, [6]Legend!$B$70, IF(J73=[6]Legend!$A$71, [6]Legend!$B$71, IF(J73=[6]Legend!$A$72, [6]Legend!$B$72, (IF(J73=[6]Legend!$A$73, [6]Legend!$B$73, IF(J73=[6]Legend!$A$74, [6]Legend!$B$74, "")))))))))))</f>
        <v>35</v>
      </c>
      <c r="L73" s="5">
        <v>34</v>
      </c>
      <c r="M73" s="5">
        <v>1</v>
      </c>
      <c r="N73" s="5" t="s">
        <v>21</v>
      </c>
      <c r="O73" s="5"/>
    </row>
    <row r="74" spans="1:15" ht="14" customHeight="1" x14ac:dyDescent="0.45">
      <c r="A74" s="7">
        <v>9008</v>
      </c>
      <c r="B74" s="5" t="s">
        <v>15</v>
      </c>
      <c r="C74" s="5" t="s">
        <v>90</v>
      </c>
      <c r="D74" s="5">
        <v>2</v>
      </c>
      <c r="E74" s="5">
        <v>3</v>
      </c>
      <c r="F74" s="5">
        <v>2</v>
      </c>
      <c r="G74" s="7">
        <v>9034</v>
      </c>
      <c r="H74" s="5" t="s">
        <v>86</v>
      </c>
      <c r="I74" s="5">
        <v>2</v>
      </c>
      <c r="J74" s="5" t="s">
        <v>18</v>
      </c>
      <c r="K74" s="6">
        <f>IF(J74=[6]Legend!$A$66,[6]Legend!$B$66,(IF(J74=[6]Legend!$A$67,[6]Legend!$B$67,IF(J74=[6]Legend!$A$68, [6]Legend!$B$68, IF(J74=[6]Legend!$A$69, [6]Legend!$B$69, IF(J74=[6]Legend!$A$70, [6]Legend!$B$70, IF(J74=[6]Legend!$A$71, [6]Legend!$B$71, IF(J74=[6]Legend!$A$72, [6]Legend!$B$72, (IF(J74=[6]Legend!$A$73, [6]Legend!$B$73, IF(J74=[6]Legend!$A$74, [6]Legend!$B$74, "")))))))))))</f>
        <v>5</v>
      </c>
      <c r="L74" s="5">
        <v>5</v>
      </c>
      <c r="M74" s="5"/>
      <c r="N74" s="5"/>
      <c r="O74" s="5"/>
    </row>
    <row r="75" spans="1:15" ht="14" customHeight="1" x14ac:dyDescent="0.45">
      <c r="A75" s="7">
        <v>9008</v>
      </c>
      <c r="B75" s="5" t="s">
        <v>15</v>
      </c>
      <c r="C75" s="5" t="s">
        <v>90</v>
      </c>
      <c r="D75" s="5">
        <v>2</v>
      </c>
      <c r="E75" s="5">
        <v>3</v>
      </c>
      <c r="F75" s="5">
        <v>2</v>
      </c>
      <c r="G75" s="7">
        <v>9034</v>
      </c>
      <c r="H75" s="5" t="s">
        <v>86</v>
      </c>
      <c r="I75" s="5">
        <v>2</v>
      </c>
      <c r="J75" s="5" t="s">
        <v>19</v>
      </c>
      <c r="K75" s="6">
        <f>IF(J75=[6]Legend!$A$66,[6]Legend!$B$66,(IF(J75=[6]Legend!$A$67,[6]Legend!$B$67,IF(J75=[6]Legend!$A$68, [6]Legend!$B$68, IF(J75=[6]Legend!$A$69, [6]Legend!$B$69, IF(J75=[6]Legend!$A$70, [6]Legend!$B$70, IF(J75=[6]Legend!$A$71, [6]Legend!$B$71, IF(J75=[6]Legend!$A$72, [6]Legend!$B$72, (IF(J75=[6]Legend!$A$73, [6]Legend!$B$73, IF(J75=[6]Legend!$A$74, [6]Legend!$B$74, "")))))))))))</f>
        <v>9</v>
      </c>
      <c r="L75" s="5">
        <v>9</v>
      </c>
      <c r="M75" s="5"/>
      <c r="N75" s="5"/>
      <c r="O75" s="5"/>
    </row>
    <row r="76" spans="1:15" ht="14" customHeight="1" x14ac:dyDescent="0.45">
      <c r="A76" s="7">
        <v>9008</v>
      </c>
      <c r="B76" s="5" t="s">
        <v>15</v>
      </c>
      <c r="C76" s="5" t="s">
        <v>90</v>
      </c>
      <c r="D76" s="5">
        <v>2</v>
      </c>
      <c r="E76" s="5">
        <v>3</v>
      </c>
      <c r="F76" s="5">
        <v>2</v>
      </c>
      <c r="G76" s="7">
        <v>9034</v>
      </c>
      <c r="H76" s="5" t="s">
        <v>86</v>
      </c>
      <c r="I76" s="5">
        <v>2</v>
      </c>
      <c r="J76" s="5" t="s">
        <v>20</v>
      </c>
      <c r="K76" s="6">
        <f>IF(J76=[6]Legend!$A$66,[6]Legend!$B$66,(IF(J76=[6]Legend!$A$67,[6]Legend!$B$67,IF(J76=[6]Legend!$A$68, [6]Legend!$B$68, IF(J76=[6]Legend!$A$69, [6]Legend!$B$69, IF(J76=[6]Legend!$A$70, [6]Legend!$B$70, IF(J76=[6]Legend!$A$71, [6]Legend!$B$71, IF(J76=[6]Legend!$A$72, [6]Legend!$B$72, (IF(J76=[6]Legend!$A$73, [6]Legend!$B$73, IF(J76=[6]Legend!$A$74, [6]Legend!$B$74, "")))))))))))</f>
        <v>35</v>
      </c>
      <c r="L76" s="5">
        <v>35</v>
      </c>
      <c r="M76" s="5">
        <v>1</v>
      </c>
      <c r="N76" s="5" t="s">
        <v>21</v>
      </c>
      <c r="O76" s="5"/>
    </row>
    <row r="77" spans="1:15" ht="14" customHeight="1" x14ac:dyDescent="0.45">
      <c r="A77" s="7">
        <v>9008</v>
      </c>
      <c r="B77" s="5" t="s">
        <v>15</v>
      </c>
      <c r="C77" s="5" t="s">
        <v>90</v>
      </c>
      <c r="D77" s="5">
        <v>2</v>
      </c>
      <c r="E77" s="5">
        <v>3</v>
      </c>
      <c r="F77" s="5">
        <v>1</v>
      </c>
      <c r="G77" s="7">
        <v>9034</v>
      </c>
      <c r="H77" s="5" t="s">
        <v>86</v>
      </c>
      <c r="I77" s="5">
        <v>2</v>
      </c>
      <c r="J77" s="5" t="s">
        <v>18</v>
      </c>
      <c r="K77" s="6">
        <f>IF(J77=[6]Legend!$A$66,[6]Legend!$B$66,(IF(J77=[6]Legend!$A$67,[6]Legend!$B$67,IF(J77=[6]Legend!$A$68, [6]Legend!$B$68, IF(J77=[6]Legend!$A$69, [6]Legend!$B$69, IF(J77=[6]Legend!$A$70, [6]Legend!$B$70, IF(J77=[6]Legend!$A$71, [6]Legend!$B$71, IF(J77=[6]Legend!$A$72, [6]Legend!$B$72, (IF(J77=[6]Legend!$A$73, [6]Legend!$B$73, IF(J77=[6]Legend!$A$74, [6]Legend!$B$74, "")))))))))))</f>
        <v>5</v>
      </c>
      <c r="L77" s="5">
        <v>5</v>
      </c>
      <c r="M77" s="5"/>
      <c r="N77" s="5"/>
      <c r="O77" s="5"/>
    </row>
    <row r="78" spans="1:15" ht="14" customHeight="1" x14ac:dyDescent="0.45">
      <c r="A78" s="7">
        <v>9008</v>
      </c>
      <c r="B78" s="5" t="s">
        <v>15</v>
      </c>
      <c r="C78" s="5" t="s">
        <v>90</v>
      </c>
      <c r="D78" s="5">
        <v>2</v>
      </c>
      <c r="E78" s="5">
        <v>3</v>
      </c>
      <c r="F78" s="5">
        <v>1</v>
      </c>
      <c r="G78" s="7">
        <v>9034</v>
      </c>
      <c r="H78" s="5" t="s">
        <v>86</v>
      </c>
      <c r="I78" s="5">
        <v>2</v>
      </c>
      <c r="J78" s="5" t="s">
        <v>19</v>
      </c>
      <c r="K78" s="6">
        <f>IF(J78=[6]Legend!$A$66,[6]Legend!$B$66,(IF(J78=[6]Legend!$A$67,[6]Legend!$B$67,IF(J78=[6]Legend!$A$68, [6]Legend!$B$68, IF(J78=[6]Legend!$A$69, [6]Legend!$B$69, IF(J78=[6]Legend!$A$70, [6]Legend!$B$70, IF(J78=[6]Legend!$A$71, [6]Legend!$B$71, IF(J78=[6]Legend!$A$72, [6]Legend!$B$72, (IF(J78=[6]Legend!$A$73, [6]Legend!$B$73, IF(J78=[6]Legend!$A$74, [6]Legend!$B$74, "")))))))))))</f>
        <v>9</v>
      </c>
      <c r="L78" s="5">
        <v>9</v>
      </c>
      <c r="M78" s="5"/>
      <c r="N78" s="5"/>
      <c r="O78" s="5"/>
    </row>
    <row r="79" spans="1:15" ht="14" customHeight="1" x14ac:dyDescent="0.45">
      <c r="A79" s="7">
        <v>9008</v>
      </c>
      <c r="B79" s="5" t="s">
        <v>15</v>
      </c>
      <c r="C79" s="5" t="s">
        <v>90</v>
      </c>
      <c r="D79" s="5">
        <v>2</v>
      </c>
      <c r="E79" s="5">
        <v>3</v>
      </c>
      <c r="F79" s="5">
        <v>1</v>
      </c>
      <c r="G79" s="7">
        <v>9034</v>
      </c>
      <c r="H79" s="5" t="s">
        <v>86</v>
      </c>
      <c r="I79" s="5">
        <v>2</v>
      </c>
      <c r="J79" s="5" t="s">
        <v>20</v>
      </c>
      <c r="K79" s="6">
        <f>IF(J79=[6]Legend!$A$66,[6]Legend!$B$66,(IF(J79=[6]Legend!$A$67,[6]Legend!$B$67,IF(J79=[6]Legend!$A$68, [6]Legend!$B$68, IF(J79=[6]Legend!$A$69, [6]Legend!$B$69, IF(J79=[6]Legend!$A$70, [6]Legend!$B$70, IF(J79=[6]Legend!$A$71, [6]Legend!$B$71, IF(J79=[6]Legend!$A$72, [6]Legend!$B$72, (IF(J79=[6]Legend!$A$73, [6]Legend!$B$73, IF(J79=[6]Legend!$A$74, [6]Legend!$B$74, "")))))))))))</f>
        <v>35</v>
      </c>
      <c r="L79" s="5">
        <v>35</v>
      </c>
      <c r="M79" s="5"/>
      <c r="N79" s="5"/>
      <c r="O79" s="5"/>
    </row>
    <row r="80" spans="1:15" ht="14" customHeight="1" x14ac:dyDescent="0.45">
      <c r="A80" s="7">
        <v>9008</v>
      </c>
      <c r="B80" s="5" t="s">
        <v>15</v>
      </c>
      <c r="C80" s="5" t="s">
        <v>90</v>
      </c>
      <c r="D80" s="5">
        <v>2</v>
      </c>
      <c r="E80" s="5">
        <v>4</v>
      </c>
      <c r="F80" s="5">
        <v>1</v>
      </c>
      <c r="G80" s="7">
        <v>9034</v>
      </c>
      <c r="H80" s="5" t="s">
        <v>86</v>
      </c>
      <c r="I80" s="5">
        <v>2</v>
      </c>
      <c r="J80" s="5" t="s">
        <v>18</v>
      </c>
      <c r="K80" s="6">
        <f>IF(J80=[6]Legend!$A$66,[6]Legend!$B$66,(IF(J80=[6]Legend!$A$67,[6]Legend!$B$67,IF(J80=[6]Legend!$A$68, [6]Legend!$B$68, IF(J80=[6]Legend!$A$69, [6]Legend!$B$69, IF(J80=[6]Legend!$A$70, [6]Legend!$B$70, IF(J80=[6]Legend!$A$71, [6]Legend!$B$71, IF(J80=[6]Legend!$A$72, [6]Legend!$B$72, (IF(J80=[6]Legend!$A$73, [6]Legend!$B$73, IF(J80=[6]Legend!$A$74, [6]Legend!$B$74, "")))))))))))</f>
        <v>5</v>
      </c>
      <c r="L80" s="5">
        <v>5</v>
      </c>
      <c r="M80" s="5">
        <v>1</v>
      </c>
      <c r="N80" s="5" t="s">
        <v>30</v>
      </c>
      <c r="O80" s="5"/>
    </row>
    <row r="81" spans="1:15" ht="14" customHeight="1" x14ac:dyDescent="0.45">
      <c r="A81" s="7">
        <v>9008</v>
      </c>
      <c r="B81" s="5" t="s">
        <v>15</v>
      </c>
      <c r="C81" s="5" t="s">
        <v>90</v>
      </c>
      <c r="D81" s="5">
        <v>2</v>
      </c>
      <c r="E81" s="5">
        <v>4</v>
      </c>
      <c r="F81" s="5">
        <v>1</v>
      </c>
      <c r="G81" s="7">
        <v>9034</v>
      </c>
      <c r="H81" s="5" t="s">
        <v>86</v>
      </c>
      <c r="I81" s="5">
        <v>2</v>
      </c>
      <c r="J81" s="5" t="s">
        <v>19</v>
      </c>
      <c r="K81" s="6">
        <f>IF(J81=[6]Legend!$A$66,[6]Legend!$B$66,(IF(J81=[6]Legend!$A$67,[6]Legend!$B$67,IF(J81=[6]Legend!$A$68, [6]Legend!$B$68, IF(J81=[6]Legend!$A$69, [6]Legend!$B$69, IF(J81=[6]Legend!$A$70, [6]Legend!$B$70, IF(J81=[6]Legend!$A$71, [6]Legend!$B$71, IF(J81=[6]Legend!$A$72, [6]Legend!$B$72, (IF(J81=[6]Legend!$A$73, [6]Legend!$B$73, IF(J81=[6]Legend!$A$74, [6]Legend!$B$74, "")))))))))))</f>
        <v>9</v>
      </c>
      <c r="L81" s="5">
        <v>9</v>
      </c>
      <c r="M81" s="5"/>
      <c r="N81" s="5"/>
      <c r="O81" s="5"/>
    </row>
    <row r="82" spans="1:15" ht="14" customHeight="1" x14ac:dyDescent="0.45">
      <c r="A82" s="7">
        <v>9008</v>
      </c>
      <c r="B82" s="5" t="s">
        <v>15</v>
      </c>
      <c r="C82" s="5" t="s">
        <v>90</v>
      </c>
      <c r="D82" s="5">
        <v>2</v>
      </c>
      <c r="E82" s="5">
        <v>4</v>
      </c>
      <c r="F82" s="5">
        <v>1</v>
      </c>
      <c r="G82" s="7">
        <v>9034</v>
      </c>
      <c r="H82" s="5" t="s">
        <v>86</v>
      </c>
      <c r="I82" s="5">
        <v>2</v>
      </c>
      <c r="J82" s="5" t="s">
        <v>20</v>
      </c>
      <c r="K82" s="6">
        <f>IF(J82=[6]Legend!$A$66,[6]Legend!$B$66,(IF(J82=[6]Legend!$A$67,[6]Legend!$B$67,IF(J82=[6]Legend!$A$68, [6]Legend!$B$68, IF(J82=[6]Legend!$A$69, [6]Legend!$B$69, IF(J82=[6]Legend!$A$70, [6]Legend!$B$70, IF(J82=[6]Legend!$A$71, [6]Legend!$B$71, IF(J82=[6]Legend!$A$72, [6]Legend!$B$72, (IF(J82=[6]Legend!$A$73, [6]Legend!$B$73, IF(J82=[6]Legend!$A$74, [6]Legend!$B$74, "")))))))))))</f>
        <v>35</v>
      </c>
      <c r="L82" s="5">
        <v>35</v>
      </c>
      <c r="M82" s="5">
        <v>1</v>
      </c>
      <c r="N82" s="5" t="s">
        <v>21</v>
      </c>
      <c r="O82" s="5"/>
    </row>
    <row r="83" spans="1:15" ht="14" customHeight="1" x14ac:dyDescent="0.45">
      <c r="A83" s="7">
        <v>9008</v>
      </c>
      <c r="B83" s="5" t="s">
        <v>15</v>
      </c>
      <c r="C83" s="5" t="s">
        <v>90</v>
      </c>
      <c r="D83" s="5">
        <v>2</v>
      </c>
      <c r="E83" s="5">
        <v>4</v>
      </c>
      <c r="F83" s="5">
        <v>2</v>
      </c>
      <c r="G83" s="7">
        <v>9034</v>
      </c>
      <c r="H83" s="5" t="s">
        <v>86</v>
      </c>
      <c r="I83" s="5">
        <v>2</v>
      </c>
      <c r="J83" s="5" t="s">
        <v>18</v>
      </c>
      <c r="K83" s="6">
        <f>IF(J83=[6]Legend!$A$66,[6]Legend!$B$66,(IF(J83=[6]Legend!$A$67,[6]Legend!$B$67,IF(J83=[6]Legend!$A$68, [6]Legend!$B$68, IF(J83=[6]Legend!$A$69, [6]Legend!$B$69, IF(J83=[6]Legend!$A$70, [6]Legend!$B$70, IF(J83=[6]Legend!$A$71, [6]Legend!$B$71, IF(J83=[6]Legend!$A$72, [6]Legend!$B$72, (IF(J83=[6]Legend!$A$73, [6]Legend!$B$73, IF(J83=[6]Legend!$A$74, [6]Legend!$B$74, "")))))))))))</f>
        <v>5</v>
      </c>
      <c r="L83" s="5">
        <v>5</v>
      </c>
      <c r="M83" s="5"/>
      <c r="N83" s="5"/>
      <c r="O83" s="5"/>
    </row>
    <row r="84" spans="1:15" ht="14" customHeight="1" x14ac:dyDescent="0.45">
      <c r="A84" s="7">
        <v>9008</v>
      </c>
      <c r="B84" s="5" t="s">
        <v>15</v>
      </c>
      <c r="C84" s="5" t="s">
        <v>90</v>
      </c>
      <c r="D84" s="5">
        <v>2</v>
      </c>
      <c r="E84" s="5">
        <v>4</v>
      </c>
      <c r="F84" s="5">
        <v>2</v>
      </c>
      <c r="G84" s="7">
        <v>9034</v>
      </c>
      <c r="H84" s="5" t="s">
        <v>86</v>
      </c>
      <c r="I84" s="5">
        <v>2</v>
      </c>
      <c r="J84" s="5" t="s">
        <v>19</v>
      </c>
      <c r="K84" s="6">
        <f>IF(J84=[6]Legend!$A$66,[6]Legend!$B$66,(IF(J84=[6]Legend!$A$67,[6]Legend!$B$67,IF(J84=[6]Legend!$A$68, [6]Legend!$B$68, IF(J84=[6]Legend!$A$69, [6]Legend!$B$69, IF(J84=[6]Legend!$A$70, [6]Legend!$B$70, IF(J84=[6]Legend!$A$71, [6]Legend!$B$71, IF(J84=[6]Legend!$A$72, [6]Legend!$B$72, (IF(J84=[6]Legend!$A$73, [6]Legend!$B$73, IF(J84=[6]Legend!$A$74, [6]Legend!$B$74, "")))))))))))</f>
        <v>9</v>
      </c>
      <c r="L84" s="5">
        <v>9</v>
      </c>
      <c r="M84" s="5"/>
      <c r="N84" s="5"/>
      <c r="O84" s="5"/>
    </row>
    <row r="85" spans="1:15" ht="14" customHeight="1" x14ac:dyDescent="0.45">
      <c r="A85" s="7">
        <v>9008</v>
      </c>
      <c r="B85" s="5" t="s">
        <v>15</v>
      </c>
      <c r="C85" s="5" t="s">
        <v>90</v>
      </c>
      <c r="D85" s="5">
        <v>2</v>
      </c>
      <c r="E85" s="5">
        <v>4</v>
      </c>
      <c r="F85" s="5">
        <v>2</v>
      </c>
      <c r="G85" s="7">
        <v>9034</v>
      </c>
      <c r="H85" s="5" t="s">
        <v>86</v>
      </c>
      <c r="I85" s="5">
        <v>2</v>
      </c>
      <c r="J85" s="5" t="s">
        <v>20</v>
      </c>
      <c r="K85" s="6">
        <f>IF(J85=[6]Legend!$A$66,[6]Legend!$B$66,(IF(J85=[6]Legend!$A$67,[6]Legend!$B$67,IF(J85=[6]Legend!$A$68, [6]Legend!$B$68, IF(J85=[6]Legend!$A$69, [6]Legend!$B$69, IF(J85=[6]Legend!$A$70, [6]Legend!$B$70, IF(J85=[6]Legend!$A$71, [6]Legend!$B$71, IF(J85=[6]Legend!$A$72, [6]Legend!$B$72, (IF(J85=[6]Legend!$A$73, [6]Legend!$B$73, IF(J85=[6]Legend!$A$74, [6]Legend!$B$74, "")))))))))))</f>
        <v>35</v>
      </c>
      <c r="L85" s="5">
        <v>35</v>
      </c>
      <c r="M85" s="5"/>
      <c r="N85" s="5"/>
      <c r="O85" s="5"/>
    </row>
    <row r="86" spans="1:15" ht="14" customHeight="1" x14ac:dyDescent="0.45">
      <c r="A86" s="7">
        <v>9008</v>
      </c>
      <c r="B86" s="5" t="s">
        <v>15</v>
      </c>
      <c r="C86" s="5" t="s">
        <v>90</v>
      </c>
      <c r="D86" s="5">
        <v>2</v>
      </c>
      <c r="E86" s="5">
        <v>5</v>
      </c>
      <c r="F86" s="5">
        <v>2</v>
      </c>
      <c r="G86" s="7">
        <v>9034</v>
      </c>
      <c r="H86" s="5" t="s">
        <v>86</v>
      </c>
      <c r="I86" s="5">
        <v>2</v>
      </c>
      <c r="J86" s="5" t="s">
        <v>18</v>
      </c>
      <c r="K86" s="6">
        <f>IF(J86=[6]Legend!$A$66,[6]Legend!$B$66,(IF(J86=[6]Legend!$A$67,[6]Legend!$B$67,IF(J86=[6]Legend!$A$68, [6]Legend!$B$68, IF(J86=[6]Legend!$A$69, [6]Legend!$B$69, IF(J86=[6]Legend!$A$70, [6]Legend!$B$70, IF(J86=[6]Legend!$A$71, [6]Legend!$B$71, IF(J86=[6]Legend!$A$72, [6]Legend!$B$72, (IF(J86=[6]Legend!$A$73, [6]Legend!$B$73, IF(J86=[6]Legend!$A$74, [6]Legend!$B$74, "")))))))))))</f>
        <v>5</v>
      </c>
      <c r="L86" s="5">
        <v>5</v>
      </c>
      <c r="M86" s="5"/>
      <c r="N86" s="5"/>
      <c r="O86" s="5"/>
    </row>
    <row r="87" spans="1:15" ht="14" customHeight="1" x14ac:dyDescent="0.45">
      <c r="A87" s="7">
        <v>9008</v>
      </c>
      <c r="B87" s="5" t="s">
        <v>15</v>
      </c>
      <c r="C87" s="5" t="s">
        <v>90</v>
      </c>
      <c r="D87" s="5">
        <v>2</v>
      </c>
      <c r="E87" s="5">
        <v>5</v>
      </c>
      <c r="F87" s="5">
        <v>2</v>
      </c>
      <c r="G87" s="7">
        <v>9034</v>
      </c>
      <c r="H87" s="5" t="s">
        <v>86</v>
      </c>
      <c r="I87" s="5">
        <v>2</v>
      </c>
      <c r="J87" s="5" t="s">
        <v>19</v>
      </c>
      <c r="K87" s="6">
        <f>IF(J87=[6]Legend!$A$66,[6]Legend!$B$66,(IF(J87=[6]Legend!$A$67,[6]Legend!$B$67,IF(J87=[6]Legend!$A$68, [6]Legend!$B$68, IF(J87=[6]Legend!$A$69, [6]Legend!$B$69, IF(J87=[6]Legend!$A$70, [6]Legend!$B$70, IF(J87=[6]Legend!$A$71, [6]Legend!$B$71, IF(J87=[6]Legend!$A$72, [6]Legend!$B$72, (IF(J87=[6]Legend!$A$73, [6]Legend!$B$73, IF(J87=[6]Legend!$A$74, [6]Legend!$B$74, "")))))))))))</f>
        <v>9</v>
      </c>
      <c r="L87" s="5">
        <v>9</v>
      </c>
      <c r="M87" s="5"/>
      <c r="N87" s="5"/>
      <c r="O87" s="5"/>
    </row>
    <row r="88" spans="1:15" ht="14" customHeight="1" x14ac:dyDescent="0.45">
      <c r="A88" s="7">
        <v>9008</v>
      </c>
      <c r="B88" s="5" t="s">
        <v>15</v>
      </c>
      <c r="C88" s="5" t="s">
        <v>90</v>
      </c>
      <c r="D88" s="5">
        <v>2</v>
      </c>
      <c r="E88" s="5">
        <v>5</v>
      </c>
      <c r="F88" s="5">
        <v>2</v>
      </c>
      <c r="G88" s="7">
        <v>9034</v>
      </c>
      <c r="H88" s="5" t="s">
        <v>86</v>
      </c>
      <c r="I88" s="5">
        <v>2</v>
      </c>
      <c r="J88" s="5" t="s">
        <v>20</v>
      </c>
      <c r="K88" s="6">
        <f>IF(J88=[6]Legend!$A$66,[6]Legend!$B$66,(IF(J88=[6]Legend!$A$67,[6]Legend!$B$67,IF(J88=[6]Legend!$A$68, [6]Legend!$B$68, IF(J88=[6]Legend!$A$69, [6]Legend!$B$69, IF(J88=[6]Legend!$A$70, [6]Legend!$B$70, IF(J88=[6]Legend!$A$71, [6]Legend!$B$71, IF(J88=[6]Legend!$A$72, [6]Legend!$B$72, (IF(J88=[6]Legend!$A$73, [6]Legend!$B$73, IF(J88=[6]Legend!$A$74, [6]Legend!$B$74, "")))))))))))</f>
        <v>35</v>
      </c>
      <c r="L88" s="5">
        <v>35</v>
      </c>
      <c r="M88" s="5">
        <v>1</v>
      </c>
      <c r="N88" s="5" t="s">
        <v>21</v>
      </c>
      <c r="O88" s="5"/>
    </row>
    <row r="89" spans="1:15" ht="14" customHeight="1" x14ac:dyDescent="0.45">
      <c r="A89" s="7">
        <v>9008</v>
      </c>
      <c r="B89" s="5" t="s">
        <v>15</v>
      </c>
      <c r="C89" s="5" t="s">
        <v>90</v>
      </c>
      <c r="D89" s="5">
        <v>2</v>
      </c>
      <c r="E89" s="5">
        <v>5</v>
      </c>
      <c r="F89" s="5">
        <v>1</v>
      </c>
      <c r="G89" s="7">
        <v>9034</v>
      </c>
      <c r="H89" s="5" t="s">
        <v>86</v>
      </c>
      <c r="I89" s="5">
        <v>2</v>
      </c>
      <c r="J89" s="5" t="s">
        <v>18</v>
      </c>
      <c r="K89" s="6">
        <f>IF(J89=[6]Legend!$A$66,[6]Legend!$B$66,(IF(J89=[6]Legend!$A$67,[6]Legend!$B$67,IF(J89=[6]Legend!$A$68, [6]Legend!$B$68, IF(J89=[6]Legend!$A$69, [6]Legend!$B$69, IF(J89=[6]Legend!$A$70, [6]Legend!$B$70, IF(J89=[6]Legend!$A$71, [6]Legend!$B$71, IF(J89=[6]Legend!$A$72, [6]Legend!$B$72, (IF(J89=[6]Legend!$A$73, [6]Legend!$B$73, IF(J89=[6]Legend!$A$74, [6]Legend!$B$74, "")))))))))))</f>
        <v>5</v>
      </c>
      <c r="L89" s="5">
        <v>5</v>
      </c>
      <c r="M89" s="5"/>
      <c r="N89" s="5"/>
      <c r="O89" s="5"/>
    </row>
    <row r="90" spans="1:15" ht="14" customHeight="1" x14ac:dyDescent="0.45">
      <c r="A90" s="7">
        <v>9008</v>
      </c>
      <c r="B90" s="5" t="s">
        <v>15</v>
      </c>
      <c r="C90" s="5" t="s">
        <v>90</v>
      </c>
      <c r="D90" s="5">
        <v>2</v>
      </c>
      <c r="E90" s="5">
        <v>5</v>
      </c>
      <c r="F90" s="5">
        <v>1</v>
      </c>
      <c r="G90" s="7">
        <v>9034</v>
      </c>
      <c r="H90" s="5" t="s">
        <v>86</v>
      </c>
      <c r="I90" s="5">
        <v>2</v>
      </c>
      <c r="J90" s="5" t="s">
        <v>19</v>
      </c>
      <c r="K90" s="6">
        <f>IF(J90=[6]Legend!$A$66,[6]Legend!$B$66,(IF(J90=[6]Legend!$A$67,[6]Legend!$B$67,IF(J90=[6]Legend!$A$68, [6]Legend!$B$68, IF(J90=[6]Legend!$A$69, [6]Legend!$B$69, IF(J90=[6]Legend!$A$70, [6]Legend!$B$70, IF(J90=[6]Legend!$A$71, [6]Legend!$B$71, IF(J90=[6]Legend!$A$72, [6]Legend!$B$72, (IF(J90=[6]Legend!$A$73, [6]Legend!$B$73, IF(J90=[6]Legend!$A$74, [6]Legend!$B$74, "")))))))))))</f>
        <v>9</v>
      </c>
      <c r="L90" s="5">
        <v>9</v>
      </c>
      <c r="M90" s="5"/>
      <c r="N90" s="5"/>
      <c r="O90" s="5"/>
    </row>
    <row r="91" spans="1:15" ht="14" customHeight="1" x14ac:dyDescent="0.45">
      <c r="A91" s="7">
        <v>9008</v>
      </c>
      <c r="B91" s="5" t="s">
        <v>15</v>
      </c>
      <c r="C91" s="5" t="s">
        <v>90</v>
      </c>
      <c r="D91" s="5">
        <v>2</v>
      </c>
      <c r="E91" s="5">
        <v>5</v>
      </c>
      <c r="F91" s="5">
        <v>1</v>
      </c>
      <c r="G91" s="7">
        <v>9034</v>
      </c>
      <c r="H91" s="5" t="s">
        <v>86</v>
      </c>
      <c r="I91" s="5">
        <v>2</v>
      </c>
      <c r="J91" s="5" t="s">
        <v>20</v>
      </c>
      <c r="K91" s="6">
        <f>IF(J91=[6]Legend!$A$66,[6]Legend!$B$66,(IF(J91=[6]Legend!$A$67,[6]Legend!$B$67,IF(J91=[6]Legend!$A$68, [6]Legend!$B$68, IF(J91=[6]Legend!$A$69, [6]Legend!$B$69, IF(J91=[6]Legend!$A$70, [6]Legend!$B$70, IF(J91=[6]Legend!$A$71, [6]Legend!$B$71, IF(J91=[6]Legend!$A$72, [6]Legend!$B$72, (IF(J91=[6]Legend!$A$73, [6]Legend!$B$73, IF(J91=[6]Legend!$A$74, [6]Legend!$B$74, "")))))))))))</f>
        <v>35</v>
      </c>
      <c r="L91" s="5">
        <v>35</v>
      </c>
      <c r="M91" s="5"/>
      <c r="N91" s="5"/>
      <c r="O91" s="5"/>
    </row>
    <row r="92" spans="1:15" ht="14" customHeight="1" x14ac:dyDescent="0.45">
      <c r="A92" s="7">
        <v>45533</v>
      </c>
      <c r="B92" s="5" t="s">
        <v>15</v>
      </c>
      <c r="C92" s="5" t="s">
        <v>90</v>
      </c>
      <c r="D92" s="5">
        <v>2</v>
      </c>
      <c r="E92" s="31">
        <v>6</v>
      </c>
      <c r="F92" s="5">
        <v>1</v>
      </c>
      <c r="G92" s="7">
        <v>45559</v>
      </c>
      <c r="H92" s="5" t="s">
        <v>108</v>
      </c>
      <c r="I92" s="5">
        <v>2</v>
      </c>
      <c r="J92" s="5" t="s">
        <v>20</v>
      </c>
      <c r="K92" s="6">
        <f>IF(J92=[7]Legend!$A$66,[7]Legend!$B$66,(IF(J92=[7]Legend!$A$67,[7]Legend!$B$67,IF(J92=[7]Legend!$A$68, [7]Legend!$B$68, IF(J92=[7]Legend!$A$69, [7]Legend!$B$69, IF(J92=[7]Legend!$A$70, [7]Legend!$B$70, IF(J92=[7]Legend!$A$71, [7]Legend!$B$71, IF(J92=[7]Legend!$A$72, [7]Legend!$B$72, (IF(J92=[7]Legend!$A$73, [7]Legend!$B$73, IF(J92=[7]Legend!$A$74, [7]Legend!$B$74, "")))))))))))</f>
        <v>35</v>
      </c>
      <c r="L92" s="5">
        <v>0</v>
      </c>
      <c r="M92" s="5"/>
      <c r="N92" s="5"/>
      <c r="O92" s="5" t="s">
        <v>111</v>
      </c>
    </row>
    <row r="93" spans="1:15" ht="14" customHeight="1" x14ac:dyDescent="0.45">
      <c r="A93" s="7">
        <v>45533</v>
      </c>
      <c r="B93" s="5" t="s">
        <v>15</v>
      </c>
      <c r="C93" s="5" t="s">
        <v>90</v>
      </c>
      <c r="D93" s="5">
        <v>2</v>
      </c>
      <c r="E93" s="31">
        <v>6</v>
      </c>
      <c r="F93" s="5">
        <v>1</v>
      </c>
      <c r="G93" s="7">
        <v>45559</v>
      </c>
      <c r="H93" s="5" t="s">
        <v>108</v>
      </c>
      <c r="I93" s="5">
        <v>2</v>
      </c>
      <c r="J93" s="5" t="s">
        <v>18</v>
      </c>
      <c r="K93" s="6">
        <f>IF(J93=[7]Legend!$A$66,[7]Legend!$B$66,(IF(J93=[7]Legend!$A$67,[7]Legend!$B$67,IF(J93=[7]Legend!$A$68, [7]Legend!$B$68, IF(J93=[7]Legend!$A$69, [7]Legend!$B$69, IF(J93=[7]Legend!$A$70, [7]Legend!$B$70, IF(J93=[7]Legend!$A$71, [7]Legend!$B$71, IF(J93=[7]Legend!$A$72, [7]Legend!$B$72, (IF(J93=[7]Legend!$A$73, [7]Legend!$B$73, IF(J93=[7]Legend!$A$74, [7]Legend!$B$74, "")))))))))))</f>
        <v>5</v>
      </c>
      <c r="L93" s="5">
        <v>0</v>
      </c>
      <c r="M93" s="5"/>
      <c r="N93" s="5"/>
      <c r="O93" s="5"/>
    </row>
    <row r="94" spans="1:15" ht="14" customHeight="1" x14ac:dyDescent="0.45">
      <c r="A94" s="7">
        <v>45533</v>
      </c>
      <c r="B94" s="5" t="s">
        <v>15</v>
      </c>
      <c r="C94" s="5" t="s">
        <v>90</v>
      </c>
      <c r="D94" s="5">
        <v>2</v>
      </c>
      <c r="E94" s="31">
        <v>6</v>
      </c>
      <c r="F94" s="5">
        <v>1</v>
      </c>
      <c r="G94" s="7">
        <v>45559</v>
      </c>
      <c r="H94" s="5" t="s">
        <v>108</v>
      </c>
      <c r="I94" s="5">
        <v>2</v>
      </c>
      <c r="J94" s="5" t="s">
        <v>19</v>
      </c>
      <c r="K94" s="6">
        <f>IF(J94=[7]Legend!$A$66,[7]Legend!$B$66,(IF(J94=[7]Legend!$A$67,[7]Legend!$B$67,IF(J94=[7]Legend!$A$68, [7]Legend!$B$68, IF(J94=[7]Legend!$A$69, [7]Legend!$B$69, IF(J94=[7]Legend!$A$70, [7]Legend!$B$70, IF(J94=[7]Legend!$A$71, [7]Legend!$B$71, IF(J94=[7]Legend!$A$72, [7]Legend!$B$72, (IF(J94=[7]Legend!$A$73, [7]Legend!$B$73, IF(J94=[7]Legend!$A$74, [7]Legend!$B$74, "")))))))))))</f>
        <v>9</v>
      </c>
      <c r="L94" s="5">
        <v>0</v>
      </c>
      <c r="M94" s="5"/>
      <c r="N94" s="5"/>
      <c r="O94" s="5"/>
    </row>
    <row r="95" spans="1:15" ht="14" customHeight="1" x14ac:dyDescent="0.45">
      <c r="A95" s="7">
        <v>45533</v>
      </c>
      <c r="B95" s="5" t="s">
        <v>15</v>
      </c>
      <c r="C95" s="5" t="s">
        <v>90</v>
      </c>
      <c r="D95" s="5">
        <v>2</v>
      </c>
      <c r="E95" s="31">
        <v>6</v>
      </c>
      <c r="F95" s="31">
        <v>2</v>
      </c>
      <c r="G95" s="7">
        <v>45559</v>
      </c>
      <c r="H95" s="5" t="s">
        <v>108</v>
      </c>
      <c r="I95" s="5">
        <v>2</v>
      </c>
      <c r="J95" s="5" t="s">
        <v>20</v>
      </c>
      <c r="K95" s="6">
        <f>IF(J95=[7]Legend!$A$66,[7]Legend!$B$66,(IF(J95=[7]Legend!$A$67,[7]Legend!$B$67,IF(J95=[7]Legend!$A$68, [7]Legend!$B$68, IF(J95=[7]Legend!$A$69, [7]Legend!$B$69, IF(J95=[7]Legend!$A$70, [7]Legend!$B$70, IF(J95=[7]Legend!$A$71, [7]Legend!$B$71, IF(J95=[7]Legend!$A$72, [7]Legend!$B$72, (IF(J95=[7]Legend!$A$73, [7]Legend!$B$73, IF(J95=[7]Legend!$A$74, [7]Legend!$B$74, "")))))))))))</f>
        <v>35</v>
      </c>
      <c r="L95" s="5">
        <v>35</v>
      </c>
      <c r="M95" s="5"/>
      <c r="N95" s="5"/>
      <c r="O95" s="5"/>
    </row>
    <row r="96" spans="1:15" ht="14" customHeight="1" x14ac:dyDescent="0.45">
      <c r="A96" s="7">
        <v>45533</v>
      </c>
      <c r="B96" s="5" t="s">
        <v>15</v>
      </c>
      <c r="C96" s="5" t="s">
        <v>90</v>
      </c>
      <c r="D96" s="5">
        <v>2</v>
      </c>
      <c r="E96" s="31">
        <v>6</v>
      </c>
      <c r="F96" s="31">
        <v>2</v>
      </c>
      <c r="G96" s="7">
        <v>45559</v>
      </c>
      <c r="H96" s="5" t="s">
        <v>108</v>
      </c>
      <c r="I96" s="5">
        <v>2</v>
      </c>
      <c r="J96" s="5" t="s">
        <v>18</v>
      </c>
      <c r="K96" s="6">
        <f>IF(J96=[7]Legend!$A$66,[7]Legend!$B$66,(IF(J96=[7]Legend!$A$67,[7]Legend!$B$67,IF(J96=[7]Legend!$A$68, [7]Legend!$B$68, IF(J96=[7]Legend!$A$69, [7]Legend!$B$69, IF(J96=[7]Legend!$A$70, [7]Legend!$B$70, IF(J96=[7]Legend!$A$71, [7]Legend!$B$71, IF(J96=[7]Legend!$A$72, [7]Legend!$B$72, (IF(J96=[7]Legend!$A$73, [7]Legend!$B$73, IF(J96=[7]Legend!$A$74, [7]Legend!$B$74, "")))))))))))</f>
        <v>5</v>
      </c>
      <c r="L96" s="5">
        <v>5</v>
      </c>
      <c r="M96" s="5"/>
      <c r="N96" s="5"/>
      <c r="O96" s="5"/>
    </row>
    <row r="97" spans="1:15" ht="14" customHeight="1" x14ac:dyDescent="0.45">
      <c r="A97" s="7">
        <v>45533</v>
      </c>
      <c r="B97" s="5" t="s">
        <v>15</v>
      </c>
      <c r="C97" s="5" t="s">
        <v>90</v>
      </c>
      <c r="D97" s="5">
        <v>2</v>
      </c>
      <c r="E97" s="31">
        <v>6</v>
      </c>
      <c r="F97" s="31">
        <v>2</v>
      </c>
      <c r="G97" s="7">
        <v>45559</v>
      </c>
      <c r="H97" s="5" t="s">
        <v>108</v>
      </c>
      <c r="I97" s="5">
        <v>2</v>
      </c>
      <c r="J97" s="5" t="s">
        <v>19</v>
      </c>
      <c r="K97" s="6">
        <f>IF(J97=[7]Legend!$A$66,[7]Legend!$B$66,(IF(J97=[7]Legend!$A$67,[7]Legend!$B$67,IF(J97=[7]Legend!$A$68, [7]Legend!$B$68, IF(J97=[7]Legend!$A$69, [7]Legend!$B$69, IF(J97=[7]Legend!$A$70, [7]Legend!$B$70, IF(J97=[7]Legend!$A$71, [7]Legend!$B$71, IF(J97=[7]Legend!$A$72, [7]Legend!$B$72, (IF(J97=[7]Legend!$A$73, [7]Legend!$B$73, IF(J97=[7]Legend!$A$74, [7]Legend!$B$74, "")))))))))))</f>
        <v>9</v>
      </c>
      <c r="L97" s="5">
        <v>9</v>
      </c>
      <c r="M97" s="5"/>
      <c r="N97" s="5"/>
      <c r="O97" s="5"/>
    </row>
    <row r="98" spans="1:15" ht="14" customHeight="1" x14ac:dyDescent="0.45">
      <c r="A98" s="7">
        <v>45533</v>
      </c>
      <c r="B98" s="5" t="s">
        <v>15</v>
      </c>
      <c r="C98" s="5" t="s">
        <v>90</v>
      </c>
      <c r="D98" s="5">
        <v>2</v>
      </c>
      <c r="E98" s="31">
        <v>6</v>
      </c>
      <c r="F98" s="31">
        <v>2</v>
      </c>
      <c r="G98" s="7">
        <v>45559</v>
      </c>
      <c r="H98" s="5" t="s">
        <v>108</v>
      </c>
      <c r="I98" s="5">
        <v>2</v>
      </c>
      <c r="J98" s="5" t="s">
        <v>20</v>
      </c>
      <c r="K98" s="6">
        <f>IF(J98=[7]Legend!$A$66,[7]Legend!$B$66,(IF(J98=[7]Legend!$A$67,[7]Legend!$B$67,IF(J98=[7]Legend!$A$68, [7]Legend!$B$68, IF(J98=[7]Legend!$A$69, [7]Legend!$B$69, IF(J98=[7]Legend!$A$70, [7]Legend!$B$70, IF(J98=[7]Legend!$A$71, [7]Legend!$B$71, IF(J98=[7]Legend!$A$72, [7]Legend!$B$72, (IF(J98=[7]Legend!$A$73, [7]Legend!$B$73, IF(J98=[7]Legend!$A$74, [7]Legend!$B$74, "")))))))))))</f>
        <v>35</v>
      </c>
      <c r="L98" s="5">
        <v>35</v>
      </c>
      <c r="M98" s="5"/>
      <c r="N98" s="5"/>
      <c r="O98" s="5"/>
    </row>
    <row r="99" spans="1:15" ht="14" customHeight="1" x14ac:dyDescent="0.45">
      <c r="A99" s="7">
        <v>45533</v>
      </c>
      <c r="B99" s="5" t="s">
        <v>15</v>
      </c>
      <c r="C99" s="5" t="s">
        <v>90</v>
      </c>
      <c r="D99" s="5">
        <v>2</v>
      </c>
      <c r="E99" s="31">
        <v>6</v>
      </c>
      <c r="F99" s="31">
        <v>2</v>
      </c>
      <c r="G99" s="7">
        <v>45559</v>
      </c>
      <c r="H99" s="5" t="s">
        <v>108</v>
      </c>
      <c r="I99" s="5">
        <v>2</v>
      </c>
      <c r="J99" s="5" t="s">
        <v>18</v>
      </c>
      <c r="K99" s="6">
        <f>IF(J99=[7]Legend!$A$66,[7]Legend!$B$66,(IF(J99=[7]Legend!$A$67,[7]Legend!$B$67,IF(J99=[7]Legend!$A$68, [7]Legend!$B$68, IF(J99=[7]Legend!$A$69, [7]Legend!$B$69, IF(J99=[7]Legend!$A$70, [7]Legend!$B$70, IF(J99=[7]Legend!$A$71, [7]Legend!$B$71, IF(J99=[7]Legend!$A$72, [7]Legend!$B$72, (IF(J99=[7]Legend!$A$73, [7]Legend!$B$73, IF(J99=[7]Legend!$A$74, [7]Legend!$B$74, "")))))))))))</f>
        <v>5</v>
      </c>
      <c r="L99" s="5">
        <v>5</v>
      </c>
      <c r="M99" s="5"/>
      <c r="N99" s="5"/>
      <c r="O99" s="5"/>
    </row>
    <row r="100" spans="1:15" ht="14" customHeight="1" x14ac:dyDescent="0.45">
      <c r="A100" s="7">
        <v>45533</v>
      </c>
      <c r="B100" s="5" t="s">
        <v>15</v>
      </c>
      <c r="C100" s="5" t="s">
        <v>90</v>
      </c>
      <c r="D100" s="5">
        <v>2</v>
      </c>
      <c r="E100" s="31">
        <v>6</v>
      </c>
      <c r="F100" s="31">
        <v>2</v>
      </c>
      <c r="G100" s="7">
        <v>45559</v>
      </c>
      <c r="H100" s="5" t="s">
        <v>108</v>
      </c>
      <c r="I100" s="5">
        <v>2</v>
      </c>
      <c r="J100" s="5" t="s">
        <v>19</v>
      </c>
      <c r="K100" s="6">
        <f>IF(J100=[7]Legend!$A$66,[7]Legend!$B$66,(IF(J100=[7]Legend!$A$67,[7]Legend!$B$67,IF(J100=[7]Legend!$A$68, [7]Legend!$B$68, IF(J100=[7]Legend!$A$69, [7]Legend!$B$69, IF(J100=[7]Legend!$A$70, [7]Legend!$B$70, IF(J100=[7]Legend!$A$71, [7]Legend!$B$71, IF(J100=[7]Legend!$A$72, [7]Legend!$B$72, (IF(J100=[7]Legend!$A$73, [7]Legend!$B$73, IF(J100=[7]Legend!$A$74, [7]Legend!$B$74, "")))))))))))</f>
        <v>9</v>
      </c>
      <c r="L100" s="5">
        <v>10</v>
      </c>
      <c r="M100" s="5"/>
      <c r="N100" s="5"/>
      <c r="O100" s="5" t="s">
        <v>112</v>
      </c>
    </row>
    <row r="101" spans="1:15" ht="14" customHeight="1" x14ac:dyDescent="0.45">
      <c r="A101" s="7">
        <v>45533</v>
      </c>
      <c r="B101" s="5" t="s">
        <v>15</v>
      </c>
      <c r="C101" s="5" t="s">
        <v>90</v>
      </c>
      <c r="D101" s="5">
        <v>2</v>
      </c>
      <c r="E101" s="5">
        <v>7</v>
      </c>
      <c r="F101" s="5">
        <v>2</v>
      </c>
      <c r="G101" s="7">
        <v>45559</v>
      </c>
      <c r="H101" s="5" t="s">
        <v>108</v>
      </c>
      <c r="I101" s="5">
        <v>2</v>
      </c>
      <c r="J101" s="5" t="s">
        <v>20</v>
      </c>
      <c r="K101" s="6">
        <f>IF(J101=[7]Legend!$A$66,[7]Legend!$B$66,(IF(J101=[7]Legend!$A$67,[7]Legend!$B$67,IF(J101=[7]Legend!$A$68, [7]Legend!$B$68, IF(J101=[7]Legend!$A$69, [7]Legend!$B$69, IF(J101=[7]Legend!$A$70, [7]Legend!$B$70, IF(J101=[7]Legend!$A$71, [7]Legend!$B$71, IF(J101=[7]Legend!$A$72, [7]Legend!$B$72, (IF(J101=[7]Legend!$A$73, [7]Legend!$B$73, IF(J101=[7]Legend!$A$74, [7]Legend!$B$74, "")))))))))))</f>
        <v>35</v>
      </c>
      <c r="L101" s="5">
        <v>35</v>
      </c>
      <c r="M101" s="5"/>
      <c r="N101" s="5"/>
      <c r="O101" s="5"/>
    </row>
    <row r="102" spans="1:15" ht="14" customHeight="1" x14ac:dyDescent="0.45">
      <c r="A102" s="7">
        <v>45533</v>
      </c>
      <c r="B102" s="5" t="s">
        <v>15</v>
      </c>
      <c r="C102" s="5" t="s">
        <v>90</v>
      </c>
      <c r="D102" s="5">
        <v>2</v>
      </c>
      <c r="E102" s="5">
        <v>7</v>
      </c>
      <c r="F102" s="5">
        <v>2</v>
      </c>
      <c r="G102" s="7">
        <v>45559</v>
      </c>
      <c r="H102" s="5" t="s">
        <v>108</v>
      </c>
      <c r="I102" s="5">
        <v>2</v>
      </c>
      <c r="J102" s="5" t="s">
        <v>18</v>
      </c>
      <c r="K102" s="6">
        <f>IF(J102=[7]Legend!$A$66,[7]Legend!$B$66,(IF(J102=[7]Legend!$A$67,[7]Legend!$B$67,IF(J102=[7]Legend!$A$68, [7]Legend!$B$68, IF(J102=[7]Legend!$A$69, [7]Legend!$B$69, IF(J102=[7]Legend!$A$70, [7]Legend!$B$70, IF(J102=[7]Legend!$A$71, [7]Legend!$B$71, IF(J102=[7]Legend!$A$72, [7]Legend!$B$72, (IF(J102=[7]Legend!$A$73, [7]Legend!$B$73, IF(J102=[7]Legend!$A$74, [7]Legend!$B$74, "")))))))))))</f>
        <v>5</v>
      </c>
      <c r="L102" s="5">
        <v>5</v>
      </c>
      <c r="M102" s="5"/>
      <c r="N102" s="5"/>
      <c r="O102" s="5"/>
    </row>
    <row r="103" spans="1:15" ht="14" customHeight="1" x14ac:dyDescent="0.45">
      <c r="A103" s="7">
        <v>45533</v>
      </c>
      <c r="B103" s="5" t="s">
        <v>15</v>
      </c>
      <c r="C103" s="5" t="s">
        <v>90</v>
      </c>
      <c r="D103" s="5">
        <v>2</v>
      </c>
      <c r="E103" s="5">
        <v>7</v>
      </c>
      <c r="F103" s="5">
        <v>2</v>
      </c>
      <c r="G103" s="7">
        <v>45559</v>
      </c>
      <c r="H103" s="5" t="s">
        <v>108</v>
      </c>
      <c r="I103" s="5">
        <v>2</v>
      </c>
      <c r="J103" s="5" t="s">
        <v>19</v>
      </c>
      <c r="K103" s="6">
        <f>IF(J103=[7]Legend!$A$66,[7]Legend!$B$66,(IF(J103=[7]Legend!$A$67,[7]Legend!$B$67,IF(J103=[7]Legend!$A$68, [7]Legend!$B$68, IF(J103=[7]Legend!$A$69, [7]Legend!$B$69, IF(J103=[7]Legend!$A$70, [7]Legend!$B$70, IF(J103=[7]Legend!$A$71, [7]Legend!$B$71, IF(J103=[7]Legend!$A$72, [7]Legend!$B$72, (IF(J103=[7]Legend!$A$73, [7]Legend!$B$73, IF(J103=[7]Legend!$A$74, [7]Legend!$B$74, "")))))))))))</f>
        <v>9</v>
      </c>
      <c r="L103" s="5">
        <v>9</v>
      </c>
      <c r="M103" s="5"/>
      <c r="N103" s="5"/>
      <c r="O103" s="5"/>
    </row>
    <row r="104" spans="1:15" ht="14" customHeight="1" x14ac:dyDescent="0.45">
      <c r="A104" s="7">
        <v>45533</v>
      </c>
      <c r="B104" s="5" t="s">
        <v>15</v>
      </c>
      <c r="C104" s="5" t="s">
        <v>90</v>
      </c>
      <c r="D104" s="5">
        <v>2</v>
      </c>
      <c r="E104" s="5">
        <v>7</v>
      </c>
      <c r="F104" s="5">
        <v>1</v>
      </c>
      <c r="G104" s="7">
        <v>45559</v>
      </c>
      <c r="H104" s="5" t="s">
        <v>108</v>
      </c>
      <c r="I104" s="5">
        <v>2</v>
      </c>
      <c r="J104" s="5" t="s">
        <v>20</v>
      </c>
      <c r="K104" s="6">
        <f>IF(J104=[7]Legend!$A$66,[7]Legend!$B$66,(IF(J104=[7]Legend!$A$67,[7]Legend!$B$67,IF(J104=[7]Legend!$A$68, [7]Legend!$B$68, IF(J104=[7]Legend!$A$69, [7]Legend!$B$69, IF(J104=[7]Legend!$A$70, [7]Legend!$B$70, IF(J104=[7]Legend!$A$71, [7]Legend!$B$71, IF(J104=[7]Legend!$A$72, [7]Legend!$B$72, (IF(J104=[7]Legend!$A$73, [7]Legend!$B$73, IF(J104=[7]Legend!$A$74, [7]Legend!$B$74, "")))))))))))</f>
        <v>35</v>
      </c>
      <c r="L104" s="5">
        <v>35</v>
      </c>
      <c r="M104" s="5"/>
      <c r="N104" s="5"/>
      <c r="O104" s="5"/>
    </row>
    <row r="105" spans="1:15" ht="14" customHeight="1" x14ac:dyDescent="0.45">
      <c r="A105" s="7">
        <v>45533</v>
      </c>
      <c r="B105" s="5" t="s">
        <v>15</v>
      </c>
      <c r="C105" s="5" t="s">
        <v>90</v>
      </c>
      <c r="D105" s="5">
        <v>2</v>
      </c>
      <c r="E105" s="5">
        <v>7</v>
      </c>
      <c r="F105" s="5">
        <v>1</v>
      </c>
      <c r="G105" s="7">
        <v>45559</v>
      </c>
      <c r="H105" s="5" t="s">
        <v>108</v>
      </c>
      <c r="I105" s="5">
        <v>2</v>
      </c>
      <c r="J105" s="5" t="s">
        <v>18</v>
      </c>
      <c r="K105" s="6">
        <f>IF(J105=[7]Legend!$A$66,[7]Legend!$B$66,(IF(J105=[7]Legend!$A$67,[7]Legend!$B$67,IF(J105=[7]Legend!$A$68, [7]Legend!$B$68, IF(J105=[7]Legend!$A$69, [7]Legend!$B$69, IF(J105=[7]Legend!$A$70, [7]Legend!$B$70, IF(J105=[7]Legend!$A$71, [7]Legend!$B$71, IF(J105=[7]Legend!$A$72, [7]Legend!$B$72, (IF(J105=[7]Legend!$A$73, [7]Legend!$B$73, IF(J105=[7]Legend!$A$74, [7]Legend!$B$74, "")))))))))))</f>
        <v>5</v>
      </c>
      <c r="L105" s="5">
        <v>5</v>
      </c>
      <c r="M105" s="5"/>
      <c r="N105" s="5"/>
      <c r="O105" s="5"/>
    </row>
    <row r="106" spans="1:15" ht="14" customHeight="1" x14ac:dyDescent="0.45">
      <c r="A106" s="7">
        <v>45533</v>
      </c>
      <c r="B106" s="5" t="s">
        <v>15</v>
      </c>
      <c r="C106" s="5" t="s">
        <v>90</v>
      </c>
      <c r="D106" s="5">
        <v>2</v>
      </c>
      <c r="E106" s="5">
        <v>7</v>
      </c>
      <c r="F106" s="5">
        <v>1</v>
      </c>
      <c r="G106" s="7">
        <v>45559</v>
      </c>
      <c r="H106" s="5" t="s">
        <v>108</v>
      </c>
      <c r="I106" s="5">
        <v>2</v>
      </c>
      <c r="J106" s="5" t="s">
        <v>19</v>
      </c>
      <c r="K106" s="6">
        <f>IF(J106=[7]Legend!$A$66,[7]Legend!$B$66,(IF(J106=[7]Legend!$A$67,[7]Legend!$B$67,IF(J106=[7]Legend!$A$68, [7]Legend!$B$68, IF(J106=[7]Legend!$A$69, [7]Legend!$B$69, IF(J106=[7]Legend!$A$70, [7]Legend!$B$70, IF(J106=[7]Legend!$A$71, [7]Legend!$B$71, IF(J106=[7]Legend!$A$72, [7]Legend!$B$72, (IF(J106=[7]Legend!$A$73, [7]Legend!$B$73, IF(J106=[7]Legend!$A$74, [7]Legend!$B$74, "")))))))))))</f>
        <v>9</v>
      </c>
      <c r="L106" s="5">
        <v>9</v>
      </c>
      <c r="M106" s="5"/>
      <c r="N106" s="5"/>
      <c r="O106" s="5"/>
    </row>
    <row r="107" spans="1:15" ht="14" customHeight="1" x14ac:dyDescent="0.45">
      <c r="A107" s="7">
        <v>45533</v>
      </c>
      <c r="B107" s="5" t="s">
        <v>15</v>
      </c>
      <c r="C107" s="5" t="s">
        <v>90</v>
      </c>
      <c r="D107" s="5">
        <v>2</v>
      </c>
      <c r="E107" s="31">
        <v>8</v>
      </c>
      <c r="F107" s="5">
        <v>2</v>
      </c>
      <c r="G107" s="7">
        <v>45559</v>
      </c>
      <c r="H107" s="5" t="s">
        <v>108</v>
      </c>
      <c r="I107" s="5">
        <v>2</v>
      </c>
      <c r="J107" s="5" t="s">
        <v>20</v>
      </c>
      <c r="K107" s="6">
        <f>IF(J107=[7]Legend!$A$66,[7]Legend!$B$66,(IF(J107=[7]Legend!$A$67,[7]Legend!$B$67,IF(J107=[7]Legend!$A$68, [7]Legend!$B$68, IF(J107=[7]Legend!$A$69, [7]Legend!$B$69, IF(J107=[7]Legend!$A$70, [7]Legend!$B$70, IF(J107=[7]Legend!$A$71, [7]Legend!$B$71, IF(J107=[7]Legend!$A$72, [7]Legend!$B$72, (IF(J107=[7]Legend!$A$73, [7]Legend!$B$73, IF(J107=[7]Legend!$A$74, [7]Legend!$B$74, "")))))))))))</f>
        <v>35</v>
      </c>
      <c r="L107" s="5">
        <v>35</v>
      </c>
      <c r="M107" s="5"/>
      <c r="N107" s="5"/>
      <c r="O107" s="5"/>
    </row>
    <row r="108" spans="1:15" ht="14" customHeight="1" x14ac:dyDescent="0.45">
      <c r="A108" s="7">
        <v>45533</v>
      </c>
      <c r="B108" s="5" t="s">
        <v>15</v>
      </c>
      <c r="C108" s="5" t="s">
        <v>90</v>
      </c>
      <c r="D108" s="5">
        <v>2</v>
      </c>
      <c r="E108" s="31">
        <v>8</v>
      </c>
      <c r="F108" s="5">
        <v>2</v>
      </c>
      <c r="G108" s="7">
        <v>45559</v>
      </c>
      <c r="H108" s="5" t="s">
        <v>108</v>
      </c>
      <c r="I108" s="5">
        <v>2</v>
      </c>
      <c r="J108" s="5" t="s">
        <v>18</v>
      </c>
      <c r="K108" s="6">
        <f>IF(J108=[7]Legend!$A$66,[7]Legend!$B$66,(IF(J108=[7]Legend!$A$67,[7]Legend!$B$67,IF(J108=[7]Legend!$A$68, [7]Legend!$B$68, IF(J108=[7]Legend!$A$69, [7]Legend!$B$69, IF(J108=[7]Legend!$A$70, [7]Legend!$B$70, IF(J108=[7]Legend!$A$71, [7]Legend!$B$71, IF(J108=[7]Legend!$A$72, [7]Legend!$B$72, (IF(J108=[7]Legend!$A$73, [7]Legend!$B$73, IF(J108=[7]Legend!$A$74, [7]Legend!$B$74, "")))))))))))</f>
        <v>5</v>
      </c>
      <c r="L108" s="5">
        <v>5</v>
      </c>
      <c r="M108" s="5"/>
      <c r="N108" s="5"/>
      <c r="O108" s="5"/>
    </row>
    <row r="109" spans="1:15" ht="14" customHeight="1" x14ac:dyDescent="0.45">
      <c r="A109" s="7">
        <v>45533</v>
      </c>
      <c r="B109" s="5" t="s">
        <v>15</v>
      </c>
      <c r="C109" s="5" t="s">
        <v>90</v>
      </c>
      <c r="D109" s="5">
        <v>2</v>
      </c>
      <c r="E109" s="31">
        <v>8</v>
      </c>
      <c r="F109" s="5">
        <v>2</v>
      </c>
      <c r="G109" s="7">
        <v>45559</v>
      </c>
      <c r="H109" s="5" t="s">
        <v>108</v>
      </c>
      <c r="I109" s="5">
        <v>2</v>
      </c>
      <c r="J109" s="5" t="s">
        <v>19</v>
      </c>
      <c r="K109" s="6">
        <f>IF(J109=[7]Legend!$A$66,[7]Legend!$B$66,(IF(J109=[7]Legend!$A$67,[7]Legend!$B$67,IF(J109=[7]Legend!$A$68, [7]Legend!$B$68, IF(J109=[7]Legend!$A$69, [7]Legend!$B$69, IF(J109=[7]Legend!$A$70, [7]Legend!$B$70, IF(J109=[7]Legend!$A$71, [7]Legend!$B$71, IF(J109=[7]Legend!$A$72, [7]Legend!$B$72, (IF(J109=[7]Legend!$A$73, [7]Legend!$B$73, IF(J109=[7]Legend!$A$74, [7]Legend!$B$74, "")))))))))))</f>
        <v>9</v>
      </c>
      <c r="L109" s="5">
        <v>9</v>
      </c>
      <c r="M109" s="5"/>
      <c r="N109" s="5"/>
      <c r="O109" s="5"/>
    </row>
    <row r="110" spans="1:15" ht="14" customHeight="1" x14ac:dyDescent="0.45">
      <c r="A110" s="7">
        <v>45533</v>
      </c>
      <c r="B110" s="5" t="s">
        <v>15</v>
      </c>
      <c r="C110" s="5" t="s">
        <v>90</v>
      </c>
      <c r="D110" s="5">
        <v>2</v>
      </c>
      <c r="E110" s="5">
        <v>9</v>
      </c>
      <c r="F110" s="5">
        <v>1</v>
      </c>
      <c r="G110" s="7">
        <v>45559</v>
      </c>
      <c r="H110" s="5" t="s">
        <v>108</v>
      </c>
      <c r="I110" s="5">
        <v>2</v>
      </c>
      <c r="J110" s="5" t="s">
        <v>20</v>
      </c>
      <c r="K110" s="6">
        <f>IF(J110=[7]Legend!$A$66,[7]Legend!$B$66,(IF(J110=[7]Legend!$A$67,[7]Legend!$B$67,IF(J110=[7]Legend!$A$68, [7]Legend!$B$68, IF(J110=[7]Legend!$A$69, [7]Legend!$B$69, IF(J110=[7]Legend!$A$70, [7]Legend!$B$70, IF(J110=[7]Legend!$A$71, [7]Legend!$B$71, IF(J110=[7]Legend!$A$72, [7]Legend!$B$72, (IF(J110=[7]Legend!$A$73, [7]Legend!$B$73, IF(J110=[7]Legend!$A$74, [7]Legend!$B$74, "")))))))))))</f>
        <v>35</v>
      </c>
      <c r="L110" s="5">
        <v>35</v>
      </c>
      <c r="M110" s="5"/>
      <c r="N110" s="5"/>
      <c r="O110" s="5"/>
    </row>
    <row r="111" spans="1:15" ht="14" customHeight="1" x14ac:dyDescent="0.45">
      <c r="A111" s="7">
        <v>45533</v>
      </c>
      <c r="B111" s="5" t="s">
        <v>15</v>
      </c>
      <c r="C111" s="5" t="s">
        <v>90</v>
      </c>
      <c r="D111" s="5">
        <v>2</v>
      </c>
      <c r="E111" s="5">
        <v>9</v>
      </c>
      <c r="F111" s="5">
        <v>1</v>
      </c>
      <c r="G111" s="7">
        <v>45559</v>
      </c>
      <c r="H111" s="5" t="s">
        <v>108</v>
      </c>
      <c r="I111" s="5">
        <v>2</v>
      </c>
      <c r="J111" s="5" t="s">
        <v>18</v>
      </c>
      <c r="K111" s="6">
        <f>IF(J111=[7]Legend!$A$66,[7]Legend!$B$66,(IF(J111=[7]Legend!$A$67,[7]Legend!$B$67,IF(J111=[7]Legend!$A$68, [7]Legend!$B$68, IF(J111=[7]Legend!$A$69, [7]Legend!$B$69, IF(J111=[7]Legend!$A$70, [7]Legend!$B$70, IF(J111=[7]Legend!$A$71, [7]Legend!$B$71, IF(J111=[7]Legend!$A$72, [7]Legend!$B$72, (IF(J111=[7]Legend!$A$73, [7]Legend!$B$73, IF(J111=[7]Legend!$A$74, [7]Legend!$B$74, "")))))))))))</f>
        <v>5</v>
      </c>
      <c r="L111" s="5">
        <v>5</v>
      </c>
      <c r="M111" s="5"/>
      <c r="N111" s="5"/>
      <c r="O111" s="5"/>
    </row>
    <row r="112" spans="1:15" ht="14" customHeight="1" x14ac:dyDescent="0.45">
      <c r="A112" s="7">
        <v>45533</v>
      </c>
      <c r="B112" s="5" t="s">
        <v>15</v>
      </c>
      <c r="C112" s="5" t="s">
        <v>90</v>
      </c>
      <c r="D112" s="5">
        <v>2</v>
      </c>
      <c r="E112" s="5">
        <v>9</v>
      </c>
      <c r="F112" s="5">
        <v>1</v>
      </c>
      <c r="G112" s="7">
        <v>45559</v>
      </c>
      <c r="H112" s="5" t="s">
        <v>108</v>
      </c>
      <c r="I112" s="5">
        <v>2</v>
      </c>
      <c r="J112" s="5" t="s">
        <v>19</v>
      </c>
      <c r="K112" s="6">
        <f>IF(J112=[7]Legend!$A$66,[7]Legend!$B$66,(IF(J112=[7]Legend!$A$67,[7]Legend!$B$67,IF(J112=[7]Legend!$A$68, [7]Legend!$B$68, IF(J112=[7]Legend!$A$69, [7]Legend!$B$69, IF(J112=[7]Legend!$A$70, [7]Legend!$B$70, IF(J112=[7]Legend!$A$71, [7]Legend!$B$71, IF(J112=[7]Legend!$A$72, [7]Legend!$B$72, (IF(J112=[7]Legend!$A$73, [7]Legend!$B$73, IF(J112=[7]Legend!$A$74, [7]Legend!$B$74, "")))))))))))</f>
        <v>9</v>
      </c>
      <c r="L112" s="5">
        <v>9</v>
      </c>
      <c r="M112" s="5">
        <v>1</v>
      </c>
      <c r="N112" s="5" t="s">
        <v>30</v>
      </c>
      <c r="O112" s="5"/>
    </row>
    <row r="113" spans="1:15" ht="14" customHeight="1" x14ac:dyDescent="0.45">
      <c r="A113" s="7">
        <v>45533</v>
      </c>
      <c r="B113" s="5" t="s">
        <v>15</v>
      </c>
      <c r="C113" s="5" t="s">
        <v>90</v>
      </c>
      <c r="D113" s="5">
        <v>2</v>
      </c>
      <c r="E113" s="5">
        <v>9</v>
      </c>
      <c r="F113" s="5">
        <v>2</v>
      </c>
      <c r="G113" s="7">
        <v>45559</v>
      </c>
      <c r="H113" s="5" t="s">
        <v>108</v>
      </c>
      <c r="I113" s="5">
        <v>2</v>
      </c>
      <c r="J113" s="5" t="s">
        <v>20</v>
      </c>
      <c r="K113" s="6">
        <f>IF(J113=[7]Legend!$A$66,[7]Legend!$B$66,(IF(J113=[7]Legend!$A$67,[7]Legend!$B$67,IF(J113=[7]Legend!$A$68, [7]Legend!$B$68, IF(J113=[7]Legend!$A$69, [7]Legend!$B$69, IF(J113=[7]Legend!$A$70, [7]Legend!$B$70, IF(J113=[7]Legend!$A$71, [7]Legend!$B$71, IF(J113=[7]Legend!$A$72, [7]Legend!$B$72, (IF(J113=[7]Legend!$A$73, [7]Legend!$B$73, IF(J113=[7]Legend!$A$74, [7]Legend!$B$74, "")))))))))))</f>
        <v>35</v>
      </c>
      <c r="L113" s="5">
        <v>35</v>
      </c>
      <c r="M113" s="5"/>
      <c r="N113" s="5"/>
      <c r="O113" s="5"/>
    </row>
    <row r="114" spans="1:15" ht="14" customHeight="1" x14ac:dyDescent="0.45">
      <c r="A114" s="7">
        <v>45533</v>
      </c>
      <c r="B114" s="5" t="s">
        <v>15</v>
      </c>
      <c r="C114" s="5" t="s">
        <v>90</v>
      </c>
      <c r="D114" s="5">
        <v>2</v>
      </c>
      <c r="E114" s="5">
        <v>9</v>
      </c>
      <c r="F114" s="5">
        <v>2</v>
      </c>
      <c r="G114" s="7">
        <v>45559</v>
      </c>
      <c r="H114" s="5" t="s">
        <v>108</v>
      </c>
      <c r="I114" s="5">
        <v>2</v>
      </c>
      <c r="J114" s="5" t="s">
        <v>18</v>
      </c>
      <c r="K114" s="6">
        <f>IF(J114=[7]Legend!$A$66,[7]Legend!$B$66,(IF(J114=[7]Legend!$A$67,[7]Legend!$B$67,IF(J114=[7]Legend!$A$68, [7]Legend!$B$68, IF(J114=[7]Legend!$A$69, [7]Legend!$B$69, IF(J114=[7]Legend!$A$70, [7]Legend!$B$70, IF(J114=[7]Legend!$A$71, [7]Legend!$B$71, IF(J114=[7]Legend!$A$72, [7]Legend!$B$72, (IF(J114=[7]Legend!$A$73, [7]Legend!$B$73, IF(J114=[7]Legend!$A$74, [7]Legend!$B$74, "")))))))))))</f>
        <v>5</v>
      </c>
      <c r="L114" s="5">
        <v>5</v>
      </c>
      <c r="M114" s="5"/>
      <c r="N114" s="5"/>
      <c r="O114" s="5"/>
    </row>
    <row r="115" spans="1:15" ht="14" customHeight="1" x14ac:dyDescent="0.45">
      <c r="A115" s="7">
        <v>45533</v>
      </c>
      <c r="B115" s="5" t="s">
        <v>15</v>
      </c>
      <c r="C115" s="5" t="s">
        <v>90</v>
      </c>
      <c r="D115" s="5">
        <v>2</v>
      </c>
      <c r="E115" s="5">
        <v>9</v>
      </c>
      <c r="F115" s="5">
        <v>2</v>
      </c>
      <c r="G115" s="7">
        <v>45559</v>
      </c>
      <c r="H115" s="5" t="s">
        <v>108</v>
      </c>
      <c r="I115" s="5">
        <v>2</v>
      </c>
      <c r="J115" s="5" t="s">
        <v>19</v>
      </c>
      <c r="K115" s="6">
        <f>IF(J115=[7]Legend!$A$66,[7]Legend!$B$66,(IF(J115=[7]Legend!$A$67,[7]Legend!$B$67,IF(J115=[7]Legend!$A$68, [7]Legend!$B$68, IF(J115=[7]Legend!$A$69, [7]Legend!$B$69, IF(J115=[7]Legend!$A$70, [7]Legend!$B$70, IF(J115=[7]Legend!$A$71, [7]Legend!$B$71, IF(J115=[7]Legend!$A$72, [7]Legend!$B$72, (IF(J115=[7]Legend!$A$73, [7]Legend!$B$73, IF(J115=[7]Legend!$A$74, [7]Legend!$B$74, "")))))))))))</f>
        <v>9</v>
      </c>
      <c r="L115" s="5">
        <v>9</v>
      </c>
      <c r="M115" s="5"/>
      <c r="N115" s="5"/>
      <c r="O115" s="5"/>
    </row>
    <row r="116" spans="1:15" ht="14" customHeight="1" x14ac:dyDescent="0.45">
      <c r="A116" s="7">
        <v>45533</v>
      </c>
      <c r="B116" s="5" t="s">
        <v>15</v>
      </c>
      <c r="C116" s="5" t="s">
        <v>90</v>
      </c>
      <c r="D116" s="5">
        <v>2</v>
      </c>
      <c r="E116" s="5">
        <v>10</v>
      </c>
      <c r="F116" s="5">
        <v>1</v>
      </c>
      <c r="G116" s="7">
        <v>45559</v>
      </c>
      <c r="H116" s="5" t="s">
        <v>108</v>
      </c>
      <c r="I116" s="5">
        <v>2</v>
      </c>
      <c r="J116" s="5" t="s">
        <v>20</v>
      </c>
      <c r="K116" s="6">
        <f>IF(J116=[7]Legend!$A$66,[7]Legend!$B$66,(IF(J116=[7]Legend!$A$67,[7]Legend!$B$67,IF(J116=[7]Legend!$A$68, [7]Legend!$B$68, IF(J116=[7]Legend!$A$69, [7]Legend!$B$69, IF(J116=[7]Legend!$A$70, [7]Legend!$B$70, IF(J116=[7]Legend!$A$71, [7]Legend!$B$71, IF(J116=[7]Legend!$A$72, [7]Legend!$B$72, (IF(J116=[7]Legend!$A$73, [7]Legend!$B$73, IF(J116=[7]Legend!$A$74, [7]Legend!$B$74, "")))))))))))</f>
        <v>35</v>
      </c>
      <c r="L116" s="5">
        <v>35</v>
      </c>
      <c r="M116" s="5"/>
      <c r="N116" s="5"/>
      <c r="O116" s="5"/>
    </row>
    <row r="117" spans="1:15" ht="14" customHeight="1" x14ac:dyDescent="0.45">
      <c r="A117" s="7">
        <v>45533</v>
      </c>
      <c r="B117" s="5" t="s">
        <v>15</v>
      </c>
      <c r="C117" s="5" t="s">
        <v>90</v>
      </c>
      <c r="D117" s="5">
        <v>2</v>
      </c>
      <c r="E117" s="5">
        <v>10</v>
      </c>
      <c r="F117" s="5">
        <v>1</v>
      </c>
      <c r="G117" s="7">
        <v>45559</v>
      </c>
      <c r="H117" s="5" t="s">
        <v>108</v>
      </c>
      <c r="I117" s="5">
        <v>2</v>
      </c>
      <c r="J117" s="5" t="s">
        <v>18</v>
      </c>
      <c r="K117" s="6">
        <f>IF(J117=[7]Legend!$A$66,[7]Legend!$B$66,(IF(J117=[7]Legend!$A$67,[7]Legend!$B$67,IF(J117=[7]Legend!$A$68, [7]Legend!$B$68, IF(J117=[7]Legend!$A$69, [7]Legend!$B$69, IF(J117=[7]Legend!$A$70, [7]Legend!$B$70, IF(J117=[7]Legend!$A$71, [7]Legend!$B$71, IF(J117=[7]Legend!$A$72, [7]Legend!$B$72, (IF(J117=[7]Legend!$A$73, [7]Legend!$B$73, IF(J117=[7]Legend!$A$74, [7]Legend!$B$74, "")))))))))))</f>
        <v>5</v>
      </c>
      <c r="L117" s="5">
        <v>6</v>
      </c>
      <c r="M117" s="5"/>
      <c r="N117" s="5"/>
      <c r="O117" s="5" t="s">
        <v>112</v>
      </c>
    </row>
    <row r="118" spans="1:15" ht="14" customHeight="1" x14ac:dyDescent="0.45">
      <c r="A118" s="7">
        <v>45533</v>
      </c>
      <c r="B118" s="5" t="s">
        <v>15</v>
      </c>
      <c r="C118" s="5" t="s">
        <v>90</v>
      </c>
      <c r="D118" s="5">
        <v>2</v>
      </c>
      <c r="E118" s="5">
        <v>10</v>
      </c>
      <c r="F118" s="5">
        <v>1</v>
      </c>
      <c r="G118" s="7">
        <v>45559</v>
      </c>
      <c r="H118" s="5" t="s">
        <v>108</v>
      </c>
      <c r="I118" s="5">
        <v>2</v>
      </c>
      <c r="J118" s="5" t="s">
        <v>19</v>
      </c>
      <c r="K118" s="6">
        <f>IF(J118=[7]Legend!$A$66,[7]Legend!$B$66,(IF(J118=[7]Legend!$A$67,[7]Legend!$B$67,IF(J118=[7]Legend!$A$68, [7]Legend!$B$68, IF(J118=[7]Legend!$A$69, [7]Legend!$B$69, IF(J118=[7]Legend!$A$70, [7]Legend!$B$70, IF(J118=[7]Legend!$A$71, [7]Legend!$B$71, IF(J118=[7]Legend!$A$72, [7]Legend!$B$72, (IF(J118=[7]Legend!$A$73, [7]Legend!$B$73, IF(J118=[7]Legend!$A$74, [7]Legend!$B$74, "")))))))))))</f>
        <v>9</v>
      </c>
      <c r="L118" s="5">
        <v>9</v>
      </c>
      <c r="M118" s="5"/>
      <c r="N118" s="5"/>
      <c r="O118" s="5"/>
    </row>
    <row r="119" spans="1:15" ht="14" customHeight="1" x14ac:dyDescent="0.45">
      <c r="A119" s="7">
        <v>45533</v>
      </c>
      <c r="B119" s="5" t="s">
        <v>15</v>
      </c>
      <c r="C119" s="5" t="s">
        <v>90</v>
      </c>
      <c r="D119" s="5">
        <v>2</v>
      </c>
      <c r="E119" s="5">
        <v>10</v>
      </c>
      <c r="F119" s="5">
        <v>2</v>
      </c>
      <c r="G119" s="7">
        <v>45559</v>
      </c>
      <c r="H119" s="5" t="s">
        <v>108</v>
      </c>
      <c r="I119" s="5">
        <v>2</v>
      </c>
      <c r="J119" s="5" t="s">
        <v>20</v>
      </c>
      <c r="K119" s="6">
        <f>IF(J119=[7]Legend!$A$66,[7]Legend!$B$66,(IF(J119=[7]Legend!$A$67,[7]Legend!$B$67,IF(J119=[7]Legend!$A$68, [7]Legend!$B$68, IF(J119=[7]Legend!$A$69, [7]Legend!$B$69, IF(J119=[7]Legend!$A$70, [7]Legend!$B$70, IF(J119=[7]Legend!$A$71, [7]Legend!$B$71, IF(J119=[7]Legend!$A$72, [7]Legend!$B$72, (IF(J119=[7]Legend!$A$73, [7]Legend!$B$73, IF(J119=[7]Legend!$A$74, [7]Legend!$B$74, "")))))))))))</f>
        <v>35</v>
      </c>
      <c r="L119" s="5">
        <v>35</v>
      </c>
      <c r="M119" s="5"/>
      <c r="N119" s="5"/>
      <c r="O119" s="5"/>
    </row>
    <row r="120" spans="1:15" ht="14" customHeight="1" x14ac:dyDescent="0.45">
      <c r="A120" s="7">
        <v>45533</v>
      </c>
      <c r="B120" s="5" t="s">
        <v>15</v>
      </c>
      <c r="C120" s="5" t="s">
        <v>90</v>
      </c>
      <c r="D120" s="5">
        <v>2</v>
      </c>
      <c r="E120" s="5">
        <v>10</v>
      </c>
      <c r="F120" s="5">
        <v>2</v>
      </c>
      <c r="G120" s="7">
        <v>45559</v>
      </c>
      <c r="H120" s="5" t="s">
        <v>108</v>
      </c>
      <c r="I120" s="5">
        <v>2</v>
      </c>
      <c r="J120" s="5" t="s">
        <v>18</v>
      </c>
      <c r="K120" s="6">
        <f>IF(J120=[7]Legend!$A$66,[7]Legend!$B$66,(IF(J120=[7]Legend!$A$67,[7]Legend!$B$67,IF(J120=[7]Legend!$A$68, [7]Legend!$B$68, IF(J120=[7]Legend!$A$69, [7]Legend!$B$69, IF(J120=[7]Legend!$A$70, [7]Legend!$B$70, IF(J120=[7]Legend!$A$71, [7]Legend!$B$71, IF(J120=[7]Legend!$A$72, [7]Legend!$B$72, (IF(J120=[7]Legend!$A$73, [7]Legend!$B$73, IF(J120=[7]Legend!$A$74, [7]Legend!$B$74, "")))))))))))</f>
        <v>5</v>
      </c>
      <c r="L120" s="5">
        <v>5</v>
      </c>
      <c r="M120" s="5"/>
      <c r="N120" s="5"/>
      <c r="O120" s="5"/>
    </row>
    <row r="121" spans="1:15" ht="14" customHeight="1" x14ac:dyDescent="0.45">
      <c r="A121" s="7">
        <v>45533</v>
      </c>
      <c r="B121" s="5" t="s">
        <v>15</v>
      </c>
      <c r="C121" s="5" t="s">
        <v>90</v>
      </c>
      <c r="D121" s="5">
        <v>2</v>
      </c>
      <c r="E121" s="5">
        <v>10</v>
      </c>
      <c r="F121" s="5">
        <v>2</v>
      </c>
      <c r="G121" s="7">
        <v>45559</v>
      </c>
      <c r="H121" s="5" t="s">
        <v>108</v>
      </c>
      <c r="I121" s="5">
        <v>2</v>
      </c>
      <c r="J121" s="5" t="s">
        <v>19</v>
      </c>
      <c r="K121" s="6">
        <f>IF(J121=[7]Legend!$A$66,[7]Legend!$B$66,(IF(J121=[7]Legend!$A$67,[7]Legend!$B$67,IF(J121=[7]Legend!$A$68, [7]Legend!$B$68, IF(J121=[7]Legend!$A$69, [7]Legend!$B$69, IF(J121=[7]Legend!$A$70, [7]Legend!$B$70, IF(J121=[7]Legend!$A$71, [7]Legend!$B$71, IF(J121=[7]Legend!$A$72, [7]Legend!$B$72, (IF(J121=[7]Legend!$A$73, [7]Legend!$B$73, IF(J121=[7]Legend!$A$74, [7]Legend!$B$74, "")))))))))))</f>
        <v>9</v>
      </c>
      <c r="L121" s="5">
        <v>9</v>
      </c>
      <c r="M121" s="5">
        <v>19</v>
      </c>
      <c r="N121" s="5"/>
      <c r="O121" s="5" t="s">
        <v>112</v>
      </c>
    </row>
    <row r="122" spans="1:15" ht="14" customHeight="1" x14ac:dyDescent="0.45">
      <c r="A122" s="7">
        <v>45540</v>
      </c>
      <c r="B122" s="5" t="s">
        <v>15</v>
      </c>
      <c r="C122" s="5" t="s">
        <v>37</v>
      </c>
      <c r="D122" s="5">
        <v>3</v>
      </c>
      <c r="E122" s="5">
        <v>1</v>
      </c>
      <c r="F122" s="5">
        <v>1</v>
      </c>
      <c r="G122" s="7">
        <v>45559</v>
      </c>
      <c r="H122" s="5" t="s">
        <v>108</v>
      </c>
      <c r="I122" s="5">
        <v>2</v>
      </c>
      <c r="J122" s="5" t="s">
        <v>20</v>
      </c>
      <c r="K122" s="6">
        <f>IF(J122=[7]Legend!$A$66,[7]Legend!$B$66,(IF(J122=[7]Legend!$A$67,[7]Legend!$B$67,IF(J122=[7]Legend!$A$68, [7]Legend!$B$68, IF(J122=[7]Legend!$A$69, [7]Legend!$B$69, IF(J122=[7]Legend!$A$70, [7]Legend!$B$70, IF(J122=[7]Legend!$A$71, [7]Legend!$B$71, IF(J122=[7]Legend!$A$72, [7]Legend!$B$72, (IF(J122=[7]Legend!$A$73, [7]Legend!$B$73, IF(J122=[7]Legend!$A$74, [7]Legend!$B$74, "")))))))))))</f>
        <v>35</v>
      </c>
      <c r="L122" s="5">
        <v>35</v>
      </c>
      <c r="M122" s="5">
        <v>1</v>
      </c>
      <c r="N122" s="5" t="s">
        <v>21</v>
      </c>
      <c r="O122" s="5"/>
    </row>
    <row r="123" spans="1:15" ht="14" customHeight="1" x14ac:dyDescent="0.45">
      <c r="A123" s="7">
        <v>45540</v>
      </c>
      <c r="B123" s="5" t="s">
        <v>15</v>
      </c>
      <c r="C123" s="5" t="s">
        <v>37</v>
      </c>
      <c r="D123" s="5">
        <v>3</v>
      </c>
      <c r="E123" s="5">
        <v>1</v>
      </c>
      <c r="F123" s="5">
        <v>1</v>
      </c>
      <c r="G123" s="7">
        <v>45559</v>
      </c>
      <c r="H123" s="5" t="s">
        <v>108</v>
      </c>
      <c r="I123" s="5">
        <v>2</v>
      </c>
      <c r="J123" s="5" t="s">
        <v>18</v>
      </c>
      <c r="K123" s="6">
        <f>IF(J123=[7]Legend!$A$66,[7]Legend!$B$66,(IF(J123=[7]Legend!$A$67,[7]Legend!$B$67,IF(J123=[7]Legend!$A$68, [7]Legend!$B$68, IF(J123=[7]Legend!$A$69, [7]Legend!$B$69, IF(J123=[7]Legend!$A$70, [7]Legend!$B$70, IF(J123=[7]Legend!$A$71, [7]Legend!$B$71, IF(J123=[7]Legend!$A$72, [7]Legend!$B$72, (IF(J123=[7]Legend!$A$73, [7]Legend!$B$73, IF(J123=[7]Legend!$A$74, [7]Legend!$B$74, "")))))))))))</f>
        <v>5</v>
      </c>
      <c r="L123" s="5">
        <v>5</v>
      </c>
      <c r="M123" s="5"/>
      <c r="N123" s="5"/>
      <c r="O123" s="5"/>
    </row>
    <row r="124" spans="1:15" ht="14" customHeight="1" x14ac:dyDescent="0.45">
      <c r="A124" s="7">
        <v>45540</v>
      </c>
      <c r="B124" s="5" t="s">
        <v>15</v>
      </c>
      <c r="C124" s="5" t="s">
        <v>37</v>
      </c>
      <c r="D124" s="5">
        <v>3</v>
      </c>
      <c r="E124" s="5">
        <v>1</v>
      </c>
      <c r="F124" s="5">
        <v>1</v>
      </c>
      <c r="G124" s="7">
        <v>45559</v>
      </c>
      <c r="H124" s="5" t="s">
        <v>108</v>
      </c>
      <c r="I124" s="5">
        <v>2</v>
      </c>
      <c r="J124" s="5" t="s">
        <v>19</v>
      </c>
      <c r="K124" s="6">
        <f>IF(J124=[7]Legend!$A$66,[7]Legend!$B$66,(IF(J124=[7]Legend!$A$67,[7]Legend!$B$67,IF(J124=[7]Legend!$A$68, [7]Legend!$B$68, IF(J124=[7]Legend!$A$69, [7]Legend!$B$69, IF(J124=[7]Legend!$A$70, [7]Legend!$B$70, IF(J124=[7]Legend!$A$71, [7]Legend!$B$71, IF(J124=[7]Legend!$A$72, [7]Legend!$B$72, (IF(J124=[7]Legend!$A$73, [7]Legend!$B$73, IF(J124=[7]Legend!$A$74, [7]Legend!$B$74, "")))))))))))</f>
        <v>9</v>
      </c>
      <c r="L124" s="5">
        <v>9</v>
      </c>
      <c r="M124" s="5"/>
      <c r="N124" s="5"/>
      <c r="O124" s="5"/>
    </row>
    <row r="125" spans="1:15" ht="14" customHeight="1" x14ac:dyDescent="0.45">
      <c r="A125" s="7">
        <v>45540</v>
      </c>
      <c r="B125" s="5" t="s">
        <v>15</v>
      </c>
      <c r="C125" s="5" t="s">
        <v>37</v>
      </c>
      <c r="D125" s="5">
        <v>3</v>
      </c>
      <c r="E125" s="5">
        <v>1</v>
      </c>
      <c r="F125" s="5">
        <v>2</v>
      </c>
      <c r="G125" s="7">
        <v>45559</v>
      </c>
      <c r="H125" s="5" t="s">
        <v>108</v>
      </c>
      <c r="I125" s="5">
        <v>2</v>
      </c>
      <c r="J125" s="5" t="s">
        <v>20</v>
      </c>
      <c r="K125" s="6">
        <f>IF(J125=[7]Legend!$A$66,[7]Legend!$B$66,(IF(J125=[7]Legend!$A$67,[7]Legend!$B$67,IF(J125=[7]Legend!$A$68, [7]Legend!$B$68, IF(J125=[7]Legend!$A$69, [7]Legend!$B$69, IF(J125=[7]Legend!$A$70, [7]Legend!$B$70, IF(J125=[7]Legend!$A$71, [7]Legend!$B$71, IF(J125=[7]Legend!$A$72, [7]Legend!$B$72, (IF(J125=[7]Legend!$A$73, [7]Legend!$B$73, IF(J125=[7]Legend!$A$74, [7]Legend!$B$74, "")))))))))))</f>
        <v>35</v>
      </c>
      <c r="L125" s="5">
        <v>35</v>
      </c>
      <c r="M125" s="5"/>
      <c r="N125" s="5"/>
      <c r="O125" s="5"/>
    </row>
    <row r="126" spans="1:15" ht="14" customHeight="1" x14ac:dyDescent="0.45">
      <c r="A126" s="7">
        <v>45540</v>
      </c>
      <c r="B126" s="5" t="s">
        <v>15</v>
      </c>
      <c r="C126" s="5" t="s">
        <v>37</v>
      </c>
      <c r="D126" s="5">
        <v>3</v>
      </c>
      <c r="E126" s="5">
        <v>1</v>
      </c>
      <c r="F126" s="5">
        <v>2</v>
      </c>
      <c r="G126" s="7">
        <v>45559</v>
      </c>
      <c r="H126" s="5" t="s">
        <v>108</v>
      </c>
      <c r="I126" s="5">
        <v>2</v>
      </c>
      <c r="J126" s="5" t="s">
        <v>18</v>
      </c>
      <c r="K126" s="6">
        <f>IF(J126=[7]Legend!$A$66,[7]Legend!$B$66,(IF(J126=[7]Legend!$A$67,[7]Legend!$B$67,IF(J126=[7]Legend!$A$68, [7]Legend!$B$68, IF(J126=[7]Legend!$A$69, [7]Legend!$B$69, IF(J126=[7]Legend!$A$70, [7]Legend!$B$70, IF(J126=[7]Legend!$A$71, [7]Legend!$B$71, IF(J126=[7]Legend!$A$72, [7]Legend!$B$72, (IF(J126=[7]Legend!$A$73, [7]Legend!$B$73, IF(J126=[7]Legend!$A$74, [7]Legend!$B$74, "")))))))))))</f>
        <v>5</v>
      </c>
      <c r="L126" s="5">
        <v>5</v>
      </c>
      <c r="M126" s="5"/>
      <c r="N126" s="5"/>
      <c r="O126" s="5"/>
    </row>
    <row r="127" spans="1:15" ht="14" customHeight="1" x14ac:dyDescent="0.45">
      <c r="A127" s="7">
        <v>45540</v>
      </c>
      <c r="B127" s="5" t="s">
        <v>15</v>
      </c>
      <c r="C127" s="5" t="s">
        <v>37</v>
      </c>
      <c r="D127" s="5">
        <v>3</v>
      </c>
      <c r="E127" s="5">
        <v>1</v>
      </c>
      <c r="F127" s="5">
        <v>2</v>
      </c>
      <c r="G127" s="7">
        <v>45559</v>
      </c>
      <c r="H127" s="5" t="s">
        <v>108</v>
      </c>
      <c r="I127" s="5">
        <v>2</v>
      </c>
      <c r="J127" s="5" t="s">
        <v>19</v>
      </c>
      <c r="K127" s="6">
        <f>IF(J127=[7]Legend!$A$66,[7]Legend!$B$66,(IF(J127=[7]Legend!$A$67,[7]Legend!$B$67,IF(J127=[7]Legend!$A$68, [7]Legend!$B$68, IF(J127=[7]Legend!$A$69, [7]Legend!$B$69, IF(J127=[7]Legend!$A$70, [7]Legend!$B$70, IF(J127=[7]Legend!$A$71, [7]Legend!$B$71, IF(J127=[7]Legend!$A$72, [7]Legend!$B$72, (IF(J127=[7]Legend!$A$73, [7]Legend!$B$73, IF(J127=[7]Legend!$A$74, [7]Legend!$B$74, "")))))))))))</f>
        <v>9</v>
      </c>
      <c r="L127" s="5">
        <v>9</v>
      </c>
      <c r="M127" s="5">
        <v>1</v>
      </c>
      <c r="N127" s="5" t="s">
        <v>21</v>
      </c>
      <c r="O127" s="5"/>
    </row>
    <row r="128" spans="1:15" ht="14" customHeight="1" x14ac:dyDescent="0.45">
      <c r="A128" s="7">
        <v>45540</v>
      </c>
      <c r="B128" s="5" t="s">
        <v>15</v>
      </c>
      <c r="C128" s="5" t="s">
        <v>37</v>
      </c>
      <c r="D128" s="5">
        <v>3</v>
      </c>
      <c r="E128" s="5">
        <v>2</v>
      </c>
      <c r="F128" s="5">
        <v>1</v>
      </c>
      <c r="G128" s="7">
        <v>45559</v>
      </c>
      <c r="H128" s="5" t="s">
        <v>108</v>
      </c>
      <c r="I128" s="5">
        <v>2</v>
      </c>
      <c r="J128" s="5" t="s">
        <v>20</v>
      </c>
      <c r="K128" s="6">
        <f>IF(J128=[7]Legend!$A$66,[7]Legend!$B$66,(IF(J128=[7]Legend!$A$67,[7]Legend!$B$67,IF(J128=[7]Legend!$A$68, [7]Legend!$B$68, IF(J128=[7]Legend!$A$69, [7]Legend!$B$69, IF(J128=[7]Legend!$A$70, [7]Legend!$B$70, IF(J128=[7]Legend!$A$71, [7]Legend!$B$71, IF(J128=[7]Legend!$A$72, [7]Legend!$B$72, (IF(J128=[7]Legend!$A$73, [7]Legend!$B$73, IF(J128=[7]Legend!$A$74, [7]Legend!$B$74, "")))))))))))</f>
        <v>35</v>
      </c>
      <c r="L128" s="5">
        <v>35</v>
      </c>
      <c r="M128" s="5">
        <v>2</v>
      </c>
      <c r="N128" s="5" t="s">
        <v>21</v>
      </c>
      <c r="O128" s="5"/>
    </row>
    <row r="129" spans="1:15" ht="14" customHeight="1" x14ac:dyDescent="0.45">
      <c r="A129" s="7">
        <v>45540</v>
      </c>
      <c r="B129" s="5" t="s">
        <v>15</v>
      </c>
      <c r="C129" s="5" t="s">
        <v>37</v>
      </c>
      <c r="D129" s="5">
        <v>3</v>
      </c>
      <c r="E129" s="5">
        <v>2</v>
      </c>
      <c r="F129" s="5">
        <v>1</v>
      </c>
      <c r="G129" s="7">
        <v>45559</v>
      </c>
      <c r="H129" s="5" t="s">
        <v>108</v>
      </c>
      <c r="I129" s="5">
        <v>2</v>
      </c>
      <c r="J129" s="5" t="s">
        <v>18</v>
      </c>
      <c r="K129" s="6">
        <f>IF(J129=[7]Legend!$A$66,[7]Legend!$B$66,(IF(J129=[7]Legend!$A$67,[7]Legend!$B$67,IF(J129=[7]Legend!$A$68, [7]Legend!$B$68, IF(J129=[7]Legend!$A$69, [7]Legend!$B$69, IF(J129=[7]Legend!$A$70, [7]Legend!$B$70, IF(J129=[7]Legend!$A$71, [7]Legend!$B$71, IF(J129=[7]Legend!$A$72, [7]Legend!$B$72, (IF(J129=[7]Legend!$A$73, [7]Legend!$B$73, IF(J129=[7]Legend!$A$74, [7]Legend!$B$74, "")))))))))))</f>
        <v>5</v>
      </c>
      <c r="L129" s="5">
        <v>5</v>
      </c>
      <c r="M129" s="5"/>
      <c r="N129" s="5"/>
      <c r="O129" s="5"/>
    </row>
    <row r="130" spans="1:15" ht="14" customHeight="1" x14ac:dyDescent="0.45">
      <c r="A130" s="7">
        <v>45540</v>
      </c>
      <c r="B130" s="5" t="s">
        <v>15</v>
      </c>
      <c r="C130" s="5" t="s">
        <v>37</v>
      </c>
      <c r="D130" s="5">
        <v>3</v>
      </c>
      <c r="E130" s="5">
        <v>2</v>
      </c>
      <c r="F130" s="5">
        <v>1</v>
      </c>
      <c r="G130" s="7">
        <v>45559</v>
      </c>
      <c r="H130" s="5" t="s">
        <v>108</v>
      </c>
      <c r="I130" s="5">
        <v>2</v>
      </c>
      <c r="J130" s="5" t="s">
        <v>19</v>
      </c>
      <c r="K130" s="6">
        <f>IF(J130=[7]Legend!$A$66,[7]Legend!$B$66,(IF(J130=[7]Legend!$A$67,[7]Legend!$B$67,IF(J130=[7]Legend!$A$68, [7]Legend!$B$68, IF(J130=[7]Legend!$A$69, [7]Legend!$B$69, IF(J130=[7]Legend!$A$70, [7]Legend!$B$70, IF(J130=[7]Legend!$A$71, [7]Legend!$B$71, IF(J130=[7]Legend!$A$72, [7]Legend!$B$72, (IF(J130=[7]Legend!$A$73, [7]Legend!$B$73, IF(J130=[7]Legend!$A$74, [7]Legend!$B$74, "")))))))))))</f>
        <v>9</v>
      </c>
      <c r="L130" s="5">
        <v>9</v>
      </c>
      <c r="M130" s="5"/>
      <c r="N130" s="5"/>
      <c r="O130" s="5"/>
    </row>
    <row r="131" spans="1:15" ht="14" customHeight="1" x14ac:dyDescent="0.45">
      <c r="A131" s="7">
        <v>45540</v>
      </c>
      <c r="B131" s="5" t="s">
        <v>15</v>
      </c>
      <c r="C131" s="5" t="s">
        <v>90</v>
      </c>
      <c r="D131" s="5">
        <v>3</v>
      </c>
      <c r="E131" s="5">
        <v>2</v>
      </c>
      <c r="F131" s="5">
        <v>2</v>
      </c>
      <c r="G131" s="7">
        <v>45560</v>
      </c>
      <c r="H131" s="5" t="s">
        <v>108</v>
      </c>
      <c r="I131" s="5">
        <v>2</v>
      </c>
      <c r="J131" s="5" t="s">
        <v>20</v>
      </c>
      <c r="K131" s="6">
        <f>IF(J131=[7]Legend!$A$66,[7]Legend!$B$66,(IF(J131=[7]Legend!$A$67,[7]Legend!$B$67,IF(J131=[7]Legend!$A$68, [7]Legend!$B$68, IF(J131=[7]Legend!$A$69, [7]Legend!$B$69, IF(J131=[7]Legend!$A$70, [7]Legend!$B$70, IF(J131=[7]Legend!$A$71, [7]Legend!$B$71, IF(J131=[7]Legend!$A$72, [7]Legend!$B$72, (IF(J131=[7]Legend!$A$73, [7]Legend!$B$73, IF(J131=[7]Legend!$A$74, [7]Legend!$B$74, "")))))))))))</f>
        <v>35</v>
      </c>
      <c r="L131" s="5">
        <v>35</v>
      </c>
      <c r="M131" s="5">
        <v>2</v>
      </c>
      <c r="N131" s="5" t="s">
        <v>21</v>
      </c>
      <c r="O131" s="5" t="s">
        <v>114</v>
      </c>
    </row>
    <row r="132" spans="1:15" ht="14" customHeight="1" x14ac:dyDescent="0.45">
      <c r="A132" s="7">
        <v>45540</v>
      </c>
      <c r="B132" s="5" t="s">
        <v>15</v>
      </c>
      <c r="C132" s="5" t="s">
        <v>90</v>
      </c>
      <c r="D132" s="5">
        <v>3</v>
      </c>
      <c r="E132" s="5">
        <v>2</v>
      </c>
      <c r="F132" s="5">
        <v>2</v>
      </c>
      <c r="G132" s="7">
        <v>45560</v>
      </c>
      <c r="H132" s="5" t="s">
        <v>108</v>
      </c>
      <c r="I132" s="5">
        <v>2</v>
      </c>
      <c r="J132" s="5" t="s">
        <v>18</v>
      </c>
      <c r="K132" s="6">
        <f>IF(J132=[7]Legend!$A$66,[7]Legend!$B$66,(IF(J132=[7]Legend!$A$67,[7]Legend!$B$67,IF(J132=[7]Legend!$A$68, [7]Legend!$B$68, IF(J132=[7]Legend!$A$69, [7]Legend!$B$69, IF(J132=[7]Legend!$A$70, [7]Legend!$B$70, IF(J132=[7]Legend!$A$71, [7]Legend!$B$71, IF(J132=[7]Legend!$A$72, [7]Legend!$B$72, (IF(J132=[7]Legend!$A$73, [7]Legend!$B$73, IF(J132=[7]Legend!$A$74, [7]Legend!$B$74, "")))))))))))</f>
        <v>5</v>
      </c>
      <c r="L132" s="5">
        <v>5</v>
      </c>
      <c r="M132" s="5">
        <v>2</v>
      </c>
      <c r="N132" s="5" t="s">
        <v>30</v>
      </c>
      <c r="O132" s="5"/>
    </row>
    <row r="133" spans="1:15" ht="14" customHeight="1" x14ac:dyDescent="0.45">
      <c r="A133" s="7">
        <v>45540</v>
      </c>
      <c r="B133" s="5" t="s">
        <v>15</v>
      </c>
      <c r="C133" s="5" t="s">
        <v>90</v>
      </c>
      <c r="D133" s="5">
        <v>3</v>
      </c>
      <c r="E133" s="5">
        <v>2</v>
      </c>
      <c r="F133" s="5">
        <v>2</v>
      </c>
      <c r="G133" s="7">
        <v>45560</v>
      </c>
      <c r="H133" s="5" t="s">
        <v>108</v>
      </c>
      <c r="I133" s="5">
        <v>2</v>
      </c>
      <c r="J133" s="5" t="s">
        <v>19</v>
      </c>
      <c r="K133" s="6">
        <f>IF(J133=[7]Legend!$A$66,[7]Legend!$B$66,(IF(J133=[7]Legend!$A$67,[7]Legend!$B$67,IF(J133=[7]Legend!$A$68, [7]Legend!$B$68, IF(J133=[7]Legend!$A$69, [7]Legend!$B$69, IF(J133=[7]Legend!$A$70, [7]Legend!$B$70, IF(J133=[7]Legend!$A$71, [7]Legend!$B$71, IF(J133=[7]Legend!$A$72, [7]Legend!$B$72, (IF(J133=[7]Legend!$A$73, [7]Legend!$B$73, IF(J133=[7]Legend!$A$74, [7]Legend!$B$74, "")))))))))))</f>
        <v>9</v>
      </c>
      <c r="L133" s="5">
        <v>9</v>
      </c>
      <c r="M133" s="5"/>
      <c r="N133" s="5"/>
      <c r="O133" s="5"/>
    </row>
    <row r="134" spans="1:15" ht="14" customHeight="1" x14ac:dyDescent="0.45">
      <c r="A134" s="7">
        <v>45540</v>
      </c>
      <c r="B134" s="5" t="s">
        <v>15</v>
      </c>
      <c r="C134" s="5" t="s">
        <v>37</v>
      </c>
      <c r="D134" s="5">
        <v>3</v>
      </c>
      <c r="E134" s="5">
        <v>3</v>
      </c>
      <c r="F134" s="5">
        <v>2</v>
      </c>
      <c r="G134" s="7">
        <v>45560</v>
      </c>
      <c r="H134" s="5" t="s">
        <v>108</v>
      </c>
      <c r="I134" s="5">
        <v>2</v>
      </c>
      <c r="J134" s="5" t="s">
        <v>20</v>
      </c>
      <c r="K134" s="6">
        <f>IF(J134=[7]Legend!$A$66,[7]Legend!$B$66,(IF(J134=[7]Legend!$A$67,[7]Legend!$B$67,IF(J134=[7]Legend!$A$68, [7]Legend!$B$68, IF(J134=[7]Legend!$A$69, [7]Legend!$B$69, IF(J134=[7]Legend!$A$70, [7]Legend!$B$70, IF(J134=[7]Legend!$A$71, [7]Legend!$B$71, IF(J134=[7]Legend!$A$72, [7]Legend!$B$72, (IF(J134=[7]Legend!$A$73, [7]Legend!$B$73, IF(J134=[7]Legend!$A$74, [7]Legend!$B$74, "")))))))))))</f>
        <v>35</v>
      </c>
      <c r="L134" s="5">
        <v>35</v>
      </c>
      <c r="M134" s="5">
        <v>2</v>
      </c>
      <c r="N134" s="5" t="s">
        <v>21</v>
      </c>
      <c r="O134" s="5"/>
    </row>
    <row r="135" spans="1:15" ht="14" customHeight="1" x14ac:dyDescent="0.45">
      <c r="A135" s="7">
        <v>45540</v>
      </c>
      <c r="B135" s="5" t="s">
        <v>15</v>
      </c>
      <c r="C135" s="5" t="s">
        <v>37</v>
      </c>
      <c r="D135" s="5">
        <v>3</v>
      </c>
      <c r="E135" s="5">
        <v>3</v>
      </c>
      <c r="F135" s="5">
        <v>2</v>
      </c>
      <c r="G135" s="7">
        <v>45560</v>
      </c>
      <c r="H135" s="5" t="s">
        <v>108</v>
      </c>
      <c r="I135" s="5">
        <v>2</v>
      </c>
      <c r="J135" s="5" t="s">
        <v>18</v>
      </c>
      <c r="K135" s="6">
        <f>IF(J135=[7]Legend!$A$66,[7]Legend!$B$66,(IF(J135=[7]Legend!$A$67,[7]Legend!$B$67,IF(J135=[7]Legend!$A$68, [7]Legend!$B$68, IF(J135=[7]Legend!$A$69, [7]Legend!$B$69, IF(J135=[7]Legend!$A$70, [7]Legend!$B$70, IF(J135=[7]Legend!$A$71, [7]Legend!$B$71, IF(J135=[7]Legend!$A$72, [7]Legend!$B$72, (IF(J135=[7]Legend!$A$73, [7]Legend!$B$73, IF(J135=[7]Legend!$A$74, [7]Legend!$B$74, "")))))))))))</f>
        <v>5</v>
      </c>
      <c r="L135" s="5">
        <v>5</v>
      </c>
      <c r="M135" s="5"/>
      <c r="N135" s="5"/>
      <c r="O135" s="5"/>
    </row>
    <row r="136" spans="1:15" ht="14" customHeight="1" x14ac:dyDescent="0.45">
      <c r="A136" s="7">
        <v>45540</v>
      </c>
      <c r="B136" s="5" t="s">
        <v>15</v>
      </c>
      <c r="C136" s="5" t="s">
        <v>37</v>
      </c>
      <c r="D136" s="5">
        <v>3</v>
      </c>
      <c r="E136" s="5">
        <v>3</v>
      </c>
      <c r="F136" s="5">
        <v>2</v>
      </c>
      <c r="G136" s="7">
        <v>45560</v>
      </c>
      <c r="H136" s="5" t="s">
        <v>108</v>
      </c>
      <c r="I136" s="5">
        <v>2</v>
      </c>
      <c r="J136" s="5" t="s">
        <v>19</v>
      </c>
      <c r="K136" s="6">
        <f>IF(J136=[7]Legend!$A$66,[7]Legend!$B$66,(IF(J136=[7]Legend!$A$67,[7]Legend!$B$67,IF(J136=[7]Legend!$A$68, [7]Legend!$B$68, IF(J136=[7]Legend!$A$69, [7]Legend!$B$69, IF(J136=[7]Legend!$A$70, [7]Legend!$B$70, IF(J136=[7]Legend!$A$71, [7]Legend!$B$71, IF(J136=[7]Legend!$A$72, [7]Legend!$B$72, (IF(J136=[7]Legend!$A$73, [7]Legend!$B$73, IF(J136=[7]Legend!$A$74, [7]Legend!$B$74, "")))))))))))</f>
        <v>9</v>
      </c>
      <c r="L136" s="5">
        <v>9</v>
      </c>
      <c r="M136" s="5">
        <v>1</v>
      </c>
      <c r="N136" s="5" t="s">
        <v>23</v>
      </c>
      <c r="O136" s="5" t="s">
        <v>113</v>
      </c>
    </row>
    <row r="137" spans="1:15" ht="14" customHeight="1" x14ac:dyDescent="0.45">
      <c r="A137" s="7">
        <v>45540</v>
      </c>
      <c r="B137" s="5" t="s">
        <v>15</v>
      </c>
      <c r="C137" s="5" t="s">
        <v>37</v>
      </c>
      <c r="D137" s="5">
        <v>3</v>
      </c>
      <c r="E137" s="5">
        <v>3</v>
      </c>
      <c r="F137" s="5">
        <v>1</v>
      </c>
      <c r="G137" s="7">
        <v>45560</v>
      </c>
      <c r="H137" s="5" t="s">
        <v>108</v>
      </c>
      <c r="I137" s="5">
        <v>2</v>
      </c>
      <c r="J137" s="5" t="s">
        <v>20</v>
      </c>
      <c r="K137" s="6">
        <f>IF(J137=[7]Legend!$A$66,[7]Legend!$B$66,(IF(J137=[7]Legend!$A$67,[7]Legend!$B$67,IF(J137=[7]Legend!$A$68, [7]Legend!$B$68, IF(J137=[7]Legend!$A$69, [7]Legend!$B$69, IF(J137=[7]Legend!$A$70, [7]Legend!$B$70, IF(J137=[7]Legend!$A$71, [7]Legend!$B$71, IF(J137=[7]Legend!$A$72, [7]Legend!$B$72, (IF(J137=[7]Legend!$A$73, [7]Legend!$B$73, IF(J137=[7]Legend!$A$74, [7]Legend!$B$74, "")))))))))))</f>
        <v>35</v>
      </c>
      <c r="L137" s="5">
        <v>31</v>
      </c>
      <c r="M137" s="5">
        <v>1</v>
      </c>
      <c r="N137" s="5" t="s">
        <v>30</v>
      </c>
      <c r="O137" s="5"/>
    </row>
    <row r="138" spans="1:15" ht="14" customHeight="1" x14ac:dyDescent="0.45">
      <c r="A138" s="7">
        <v>45540</v>
      </c>
      <c r="B138" s="5" t="s">
        <v>15</v>
      </c>
      <c r="C138" s="5" t="s">
        <v>37</v>
      </c>
      <c r="D138" s="5">
        <v>3</v>
      </c>
      <c r="E138" s="5">
        <v>3</v>
      </c>
      <c r="F138" s="5">
        <v>1</v>
      </c>
      <c r="G138" s="7">
        <v>45561</v>
      </c>
      <c r="H138" s="5" t="s">
        <v>108</v>
      </c>
      <c r="I138" s="5">
        <v>2</v>
      </c>
      <c r="J138" s="5" t="s">
        <v>18</v>
      </c>
      <c r="K138" s="6">
        <f>IF(J138=[7]Legend!$A$66,[7]Legend!$B$66,(IF(J138=[7]Legend!$A$67,[7]Legend!$B$67,IF(J138=[7]Legend!$A$68, [7]Legend!$B$68, IF(J138=[7]Legend!$A$69, [7]Legend!$B$69, IF(J138=[7]Legend!$A$70, [7]Legend!$B$70, IF(J138=[7]Legend!$A$71, [7]Legend!$B$71, IF(J138=[7]Legend!$A$72, [7]Legend!$B$72, (IF(J138=[7]Legend!$A$73, [7]Legend!$B$73, IF(J138=[7]Legend!$A$74, [7]Legend!$B$74, "")))))))))))</f>
        <v>5</v>
      </c>
      <c r="L138" s="5">
        <v>0</v>
      </c>
      <c r="M138" s="5"/>
      <c r="N138" s="5"/>
      <c r="O138" s="5"/>
    </row>
    <row r="139" spans="1:15" ht="14" customHeight="1" x14ac:dyDescent="0.45">
      <c r="A139" s="7">
        <v>45540</v>
      </c>
      <c r="B139" s="5" t="s">
        <v>15</v>
      </c>
      <c r="C139" s="5" t="s">
        <v>37</v>
      </c>
      <c r="D139" s="5">
        <v>3</v>
      </c>
      <c r="E139" s="5">
        <v>3</v>
      </c>
      <c r="F139" s="5">
        <v>1</v>
      </c>
      <c r="G139" s="7">
        <v>45561</v>
      </c>
      <c r="H139" s="5" t="s">
        <v>108</v>
      </c>
      <c r="I139" s="5">
        <v>2</v>
      </c>
      <c r="J139" s="5" t="s">
        <v>19</v>
      </c>
      <c r="K139" s="6">
        <f>IF(J139=[7]Legend!$A$66,[7]Legend!$B$66,(IF(J139=[7]Legend!$A$67,[7]Legend!$B$67,IF(J139=[7]Legend!$A$68, [7]Legend!$B$68, IF(J139=[7]Legend!$A$69, [7]Legend!$B$69, IF(J139=[7]Legend!$A$70, [7]Legend!$B$70, IF(J139=[7]Legend!$A$71, [7]Legend!$B$71, IF(J139=[7]Legend!$A$72, [7]Legend!$B$72, (IF(J139=[7]Legend!$A$73, [7]Legend!$B$73, IF(J139=[7]Legend!$A$74, [7]Legend!$B$74, "")))))))))))</f>
        <v>9</v>
      </c>
      <c r="L139" s="5">
        <v>0</v>
      </c>
      <c r="M139" s="5"/>
      <c r="N139" s="5"/>
      <c r="O139" s="5"/>
    </row>
    <row r="140" spans="1:15" ht="14" customHeight="1" x14ac:dyDescent="0.45">
      <c r="A140" s="7">
        <v>45540</v>
      </c>
      <c r="B140" s="5" t="s">
        <v>15</v>
      </c>
      <c r="C140" s="5" t="s">
        <v>37</v>
      </c>
      <c r="D140" s="5">
        <v>3</v>
      </c>
      <c r="E140" s="5">
        <v>4</v>
      </c>
      <c r="F140" s="5">
        <v>2</v>
      </c>
      <c r="G140" s="7">
        <v>45559</v>
      </c>
      <c r="H140" s="5" t="s">
        <v>108</v>
      </c>
      <c r="I140" s="5">
        <v>2</v>
      </c>
      <c r="J140" s="5" t="s">
        <v>20</v>
      </c>
      <c r="K140" s="6">
        <f>IF(J140=[7]Legend!$A$66,[7]Legend!$B$66,(IF(J140=[7]Legend!$A$67,[7]Legend!$B$67,IF(J140=[7]Legend!$A$68, [7]Legend!$B$68, IF(J140=[7]Legend!$A$69, [7]Legend!$B$69, IF(J140=[7]Legend!$A$70, [7]Legend!$B$70, IF(J140=[7]Legend!$A$71, [7]Legend!$B$71, IF(J140=[7]Legend!$A$72, [7]Legend!$B$72, (IF(J140=[7]Legend!$A$73, [7]Legend!$B$73, IF(J140=[7]Legend!$A$74, [7]Legend!$B$74, "")))))))))))</f>
        <v>35</v>
      </c>
      <c r="L140" s="5">
        <v>35</v>
      </c>
      <c r="M140" s="5"/>
      <c r="N140" s="5"/>
      <c r="O140" s="5"/>
    </row>
    <row r="141" spans="1:15" ht="14" customHeight="1" x14ac:dyDescent="0.45">
      <c r="A141" s="7">
        <v>45540</v>
      </c>
      <c r="B141" s="5" t="s">
        <v>15</v>
      </c>
      <c r="C141" s="5" t="s">
        <v>37</v>
      </c>
      <c r="D141" s="5">
        <v>3</v>
      </c>
      <c r="E141" s="5">
        <v>4</v>
      </c>
      <c r="F141" s="5">
        <v>2</v>
      </c>
      <c r="G141" s="7">
        <v>45559</v>
      </c>
      <c r="H141" s="5" t="s">
        <v>108</v>
      </c>
      <c r="I141" s="5">
        <v>2</v>
      </c>
      <c r="J141" s="5" t="s">
        <v>18</v>
      </c>
      <c r="K141" s="6">
        <f>IF(J141=[7]Legend!$A$66,[7]Legend!$B$66,(IF(J141=[7]Legend!$A$67,[7]Legend!$B$67,IF(J141=[7]Legend!$A$68, [7]Legend!$B$68, IF(J141=[7]Legend!$A$69, [7]Legend!$B$69, IF(J141=[7]Legend!$A$70, [7]Legend!$B$70, IF(J141=[7]Legend!$A$71, [7]Legend!$B$71, IF(J141=[7]Legend!$A$72, [7]Legend!$B$72, (IF(J141=[7]Legend!$A$73, [7]Legend!$B$73, IF(J141=[7]Legend!$A$74, [7]Legend!$B$74, "")))))))))))</f>
        <v>5</v>
      </c>
      <c r="L141" s="5">
        <v>5</v>
      </c>
      <c r="M141" s="5"/>
      <c r="N141" s="5"/>
      <c r="O141" s="5"/>
    </row>
    <row r="142" spans="1:15" ht="14" customHeight="1" x14ac:dyDescent="0.45">
      <c r="A142" s="7">
        <v>45540</v>
      </c>
      <c r="B142" s="5" t="s">
        <v>15</v>
      </c>
      <c r="C142" s="5" t="s">
        <v>37</v>
      </c>
      <c r="D142" s="5">
        <v>3</v>
      </c>
      <c r="E142" s="5">
        <v>4</v>
      </c>
      <c r="F142" s="5">
        <v>2</v>
      </c>
      <c r="G142" s="7">
        <v>45559</v>
      </c>
      <c r="H142" s="5" t="s">
        <v>108</v>
      </c>
      <c r="I142" s="5">
        <v>2</v>
      </c>
      <c r="J142" s="5" t="s">
        <v>19</v>
      </c>
      <c r="K142" s="6">
        <f>IF(J142=[7]Legend!$A$66,[7]Legend!$B$66,(IF(J142=[7]Legend!$A$67,[7]Legend!$B$67,IF(J142=[7]Legend!$A$68, [7]Legend!$B$68, IF(J142=[7]Legend!$A$69, [7]Legend!$B$69, IF(J142=[7]Legend!$A$70, [7]Legend!$B$70, IF(J142=[7]Legend!$A$71, [7]Legend!$B$71, IF(J142=[7]Legend!$A$72, [7]Legend!$B$72, (IF(J142=[7]Legend!$A$73, [7]Legend!$B$73, IF(J142=[7]Legend!$A$74, [7]Legend!$B$74, "")))))))))))</f>
        <v>9</v>
      </c>
      <c r="L142" s="5">
        <v>9</v>
      </c>
      <c r="M142" s="5"/>
      <c r="N142" s="5"/>
      <c r="O142" s="5"/>
    </row>
    <row r="143" spans="1:15" ht="14" customHeight="1" x14ac:dyDescent="0.45">
      <c r="A143" s="7">
        <v>45540</v>
      </c>
      <c r="B143" s="5" t="s">
        <v>15</v>
      </c>
      <c r="C143" s="5" t="s">
        <v>90</v>
      </c>
      <c r="D143" s="5">
        <v>3</v>
      </c>
      <c r="E143" s="5">
        <v>4</v>
      </c>
      <c r="F143" s="5">
        <v>1</v>
      </c>
      <c r="G143" s="7">
        <v>45560</v>
      </c>
      <c r="H143" s="5" t="s">
        <v>108</v>
      </c>
      <c r="I143" s="5">
        <v>2</v>
      </c>
      <c r="J143" s="5" t="s">
        <v>20</v>
      </c>
      <c r="K143" s="6">
        <f>IF(J143=[7]Legend!$A$66,[7]Legend!$B$66,(IF(J143=[7]Legend!$A$67,[7]Legend!$B$67,IF(J143=[7]Legend!$A$68, [7]Legend!$B$68, IF(J143=[7]Legend!$A$69, [7]Legend!$B$69, IF(J143=[7]Legend!$A$70, [7]Legend!$B$70, IF(J143=[7]Legend!$A$71, [7]Legend!$B$71, IF(J143=[7]Legend!$A$72, [7]Legend!$B$72, (IF(J143=[7]Legend!$A$73, [7]Legend!$B$73, IF(J143=[7]Legend!$A$74, [7]Legend!$B$74, "")))))))))))</f>
        <v>35</v>
      </c>
      <c r="L143" s="5">
        <v>35</v>
      </c>
      <c r="M143" s="5">
        <v>2</v>
      </c>
      <c r="N143" s="5" t="s">
        <v>21</v>
      </c>
      <c r="O143" s="5" t="s">
        <v>114</v>
      </c>
    </row>
    <row r="144" spans="1:15" ht="14" customHeight="1" x14ac:dyDescent="0.45">
      <c r="A144" s="7">
        <v>45540</v>
      </c>
      <c r="B144" s="5" t="s">
        <v>15</v>
      </c>
      <c r="C144" s="5" t="s">
        <v>90</v>
      </c>
      <c r="D144" s="5">
        <v>3</v>
      </c>
      <c r="E144" s="5">
        <v>4</v>
      </c>
      <c r="F144" s="5">
        <v>1</v>
      </c>
      <c r="G144" s="7">
        <v>45560</v>
      </c>
      <c r="H144" s="5" t="s">
        <v>108</v>
      </c>
      <c r="I144" s="5">
        <v>2</v>
      </c>
      <c r="J144" s="5" t="s">
        <v>18</v>
      </c>
      <c r="K144" s="6">
        <f>IF(J144=[7]Legend!$A$66,[7]Legend!$B$66,(IF(J144=[7]Legend!$A$67,[7]Legend!$B$67,IF(J144=[7]Legend!$A$68, [7]Legend!$B$68, IF(J144=[7]Legend!$A$69, [7]Legend!$B$69, IF(J144=[7]Legend!$A$70, [7]Legend!$B$70, IF(J144=[7]Legend!$A$71, [7]Legend!$B$71, IF(J144=[7]Legend!$A$72, [7]Legend!$B$72, (IF(J144=[7]Legend!$A$73, [7]Legend!$B$73, IF(J144=[7]Legend!$A$74, [7]Legend!$B$74, "")))))))))))</f>
        <v>5</v>
      </c>
      <c r="L144" s="5">
        <v>1</v>
      </c>
      <c r="M144" s="5"/>
      <c r="N144" s="5"/>
      <c r="O144" s="5"/>
    </row>
    <row r="145" spans="1:15" ht="14" customHeight="1" x14ac:dyDescent="0.45">
      <c r="A145" s="7">
        <v>45540</v>
      </c>
      <c r="B145" s="5" t="s">
        <v>15</v>
      </c>
      <c r="C145" s="5" t="s">
        <v>90</v>
      </c>
      <c r="D145" s="5">
        <v>3</v>
      </c>
      <c r="E145" s="5">
        <v>4</v>
      </c>
      <c r="F145" s="5">
        <v>1</v>
      </c>
      <c r="G145" s="7">
        <v>45560</v>
      </c>
      <c r="H145" s="5" t="s">
        <v>108</v>
      </c>
      <c r="I145" s="5">
        <v>2</v>
      </c>
      <c r="J145" s="5" t="s">
        <v>19</v>
      </c>
      <c r="K145" s="6">
        <f>IF(J145=[7]Legend!$A$66,[7]Legend!$B$66,(IF(J145=[7]Legend!$A$67,[7]Legend!$B$67,IF(J145=[7]Legend!$A$68, [7]Legend!$B$68, IF(J145=[7]Legend!$A$69, [7]Legend!$B$69, IF(J145=[7]Legend!$A$70, [7]Legend!$B$70, IF(J145=[7]Legend!$A$71, [7]Legend!$B$71, IF(J145=[7]Legend!$A$72, [7]Legend!$B$72, (IF(J145=[7]Legend!$A$73, [7]Legend!$B$73, IF(J145=[7]Legend!$A$74, [7]Legend!$B$74, "")))))))))))</f>
        <v>9</v>
      </c>
      <c r="L145" s="5">
        <v>6</v>
      </c>
      <c r="M145" s="5"/>
      <c r="N145" s="5"/>
      <c r="O145" s="5"/>
    </row>
    <row r="146" spans="1:15" ht="14" customHeight="1" x14ac:dyDescent="0.45">
      <c r="A146" s="7">
        <v>45540</v>
      </c>
      <c r="B146" s="5" t="s">
        <v>15</v>
      </c>
      <c r="C146" s="5" t="s">
        <v>37</v>
      </c>
      <c r="D146" s="5">
        <v>3</v>
      </c>
      <c r="E146" s="5">
        <v>5</v>
      </c>
      <c r="F146" s="5">
        <v>1</v>
      </c>
      <c r="G146" s="7">
        <v>45560</v>
      </c>
      <c r="H146" s="5" t="s">
        <v>108</v>
      </c>
      <c r="I146" s="5">
        <v>2</v>
      </c>
      <c r="J146" s="5" t="s">
        <v>20</v>
      </c>
      <c r="K146" s="6">
        <f>IF(J146=[7]Legend!$A$66,[7]Legend!$B$66,(IF(J146=[7]Legend!$A$67,[7]Legend!$B$67,IF(J146=[7]Legend!$A$68, [7]Legend!$B$68, IF(J146=[7]Legend!$A$69, [7]Legend!$B$69, IF(J146=[7]Legend!$A$70, [7]Legend!$B$70, IF(J146=[7]Legend!$A$71, [7]Legend!$B$71, IF(J146=[7]Legend!$A$72, [7]Legend!$B$72, (IF(J146=[7]Legend!$A$73, [7]Legend!$B$73, IF(J146=[7]Legend!$A$74, [7]Legend!$B$74, "")))))))))))</f>
        <v>35</v>
      </c>
      <c r="L146" s="5">
        <v>0</v>
      </c>
      <c r="M146" s="5"/>
      <c r="N146" s="5"/>
      <c r="O146" s="5"/>
    </row>
    <row r="147" spans="1:15" ht="14" customHeight="1" x14ac:dyDescent="0.45">
      <c r="A147" s="7">
        <v>45540</v>
      </c>
      <c r="B147" s="5" t="s">
        <v>15</v>
      </c>
      <c r="C147" s="5" t="s">
        <v>37</v>
      </c>
      <c r="D147" s="5">
        <v>3</v>
      </c>
      <c r="E147" s="5">
        <v>5</v>
      </c>
      <c r="F147" s="5">
        <v>1</v>
      </c>
      <c r="G147" s="7">
        <v>45560</v>
      </c>
      <c r="H147" s="5" t="s">
        <v>108</v>
      </c>
      <c r="I147" s="5">
        <v>2</v>
      </c>
      <c r="J147" s="5" t="s">
        <v>18</v>
      </c>
      <c r="K147" s="6">
        <f>IF(J147=[7]Legend!$A$66,[7]Legend!$B$66,(IF(J147=[7]Legend!$A$67,[7]Legend!$B$67,IF(J147=[7]Legend!$A$68, [7]Legend!$B$68, IF(J147=[7]Legend!$A$69, [7]Legend!$B$69, IF(J147=[7]Legend!$A$70, [7]Legend!$B$70, IF(J147=[7]Legend!$A$71, [7]Legend!$B$71, IF(J147=[7]Legend!$A$72, [7]Legend!$B$72, (IF(J147=[7]Legend!$A$73, [7]Legend!$B$73, IF(J147=[7]Legend!$A$74, [7]Legend!$B$74, "")))))))))))</f>
        <v>5</v>
      </c>
      <c r="L147" s="5">
        <v>0</v>
      </c>
      <c r="M147" s="5"/>
      <c r="N147" s="5"/>
      <c r="O147" s="5"/>
    </row>
    <row r="148" spans="1:15" ht="14" customHeight="1" x14ac:dyDescent="0.45">
      <c r="A148" s="7">
        <v>45540</v>
      </c>
      <c r="B148" s="5" t="s">
        <v>15</v>
      </c>
      <c r="C148" s="5" t="s">
        <v>37</v>
      </c>
      <c r="D148" s="5">
        <v>3</v>
      </c>
      <c r="E148" s="5">
        <v>5</v>
      </c>
      <c r="F148" s="5">
        <v>1</v>
      </c>
      <c r="G148" s="7">
        <v>45560</v>
      </c>
      <c r="H148" s="5" t="s">
        <v>108</v>
      </c>
      <c r="I148" s="5">
        <v>2</v>
      </c>
      <c r="J148" s="5" t="s">
        <v>19</v>
      </c>
      <c r="K148" s="6">
        <f>IF(J148=[7]Legend!$A$66,[7]Legend!$B$66,(IF(J148=[7]Legend!$A$67,[7]Legend!$B$67,IF(J148=[7]Legend!$A$68, [7]Legend!$B$68, IF(J148=[7]Legend!$A$69, [7]Legend!$B$69, IF(J148=[7]Legend!$A$70, [7]Legend!$B$70, IF(J148=[7]Legend!$A$71, [7]Legend!$B$71, IF(J148=[7]Legend!$A$72, [7]Legend!$B$72, (IF(J148=[7]Legend!$A$73, [7]Legend!$B$73, IF(J148=[7]Legend!$A$74, [7]Legend!$B$74, "")))))))))))</f>
        <v>9</v>
      </c>
      <c r="L148" s="5">
        <v>0</v>
      </c>
      <c r="M148" s="5"/>
      <c r="N148" s="5"/>
      <c r="O148" s="5"/>
    </row>
    <row r="149" spans="1:15" ht="14" customHeight="1" x14ac:dyDescent="0.45">
      <c r="A149" s="7">
        <v>45540</v>
      </c>
      <c r="B149" s="5" t="s">
        <v>15</v>
      </c>
      <c r="C149" s="5" t="s">
        <v>90</v>
      </c>
      <c r="D149" s="5">
        <v>3</v>
      </c>
      <c r="E149" s="5">
        <v>5</v>
      </c>
      <c r="F149" s="5">
        <v>2</v>
      </c>
      <c r="G149" s="7">
        <v>45560</v>
      </c>
      <c r="H149" s="5" t="s">
        <v>108</v>
      </c>
      <c r="I149" s="5">
        <v>2</v>
      </c>
      <c r="J149" s="5" t="s">
        <v>20</v>
      </c>
      <c r="K149" s="6">
        <f>IF(J149=[7]Legend!$A$66,[7]Legend!$B$66,(IF(J149=[7]Legend!$A$67,[7]Legend!$B$67,IF(J149=[7]Legend!$A$68, [7]Legend!$B$68, IF(J149=[7]Legend!$A$69, [7]Legend!$B$69, IF(J149=[7]Legend!$A$70, [7]Legend!$B$70, IF(J149=[7]Legend!$A$71, [7]Legend!$B$71, IF(J149=[7]Legend!$A$72, [7]Legend!$B$72, (IF(J149=[7]Legend!$A$73, [7]Legend!$B$73, IF(J149=[7]Legend!$A$74, [7]Legend!$B$74, "")))))))))))</f>
        <v>35</v>
      </c>
      <c r="L149" s="5">
        <v>35</v>
      </c>
      <c r="M149" s="5"/>
      <c r="N149" s="5"/>
      <c r="O149" s="5" t="s">
        <v>115</v>
      </c>
    </row>
    <row r="150" spans="1:15" ht="14" customHeight="1" x14ac:dyDescent="0.45">
      <c r="A150" s="7">
        <v>45540</v>
      </c>
      <c r="B150" s="5" t="s">
        <v>15</v>
      </c>
      <c r="C150" s="5" t="s">
        <v>90</v>
      </c>
      <c r="D150" s="5">
        <v>3</v>
      </c>
      <c r="E150" s="5">
        <v>5</v>
      </c>
      <c r="F150" s="5">
        <v>2</v>
      </c>
      <c r="G150" s="7">
        <v>45560</v>
      </c>
      <c r="H150" s="5" t="s">
        <v>108</v>
      </c>
      <c r="I150" s="5">
        <v>2</v>
      </c>
      <c r="J150" s="5" t="s">
        <v>18</v>
      </c>
      <c r="K150" s="6">
        <f>IF(J150=[7]Legend!$A$66,[7]Legend!$B$66,(IF(J150=[7]Legend!$A$67,[7]Legend!$B$67,IF(J150=[7]Legend!$A$68, [7]Legend!$B$68, IF(J150=[7]Legend!$A$69, [7]Legend!$B$69, IF(J150=[7]Legend!$A$70, [7]Legend!$B$70, IF(J150=[7]Legend!$A$71, [7]Legend!$B$71, IF(J150=[7]Legend!$A$72, [7]Legend!$B$72, (IF(J150=[7]Legend!$A$73, [7]Legend!$B$73, IF(J150=[7]Legend!$A$74, [7]Legend!$B$74, "")))))))))))</f>
        <v>5</v>
      </c>
      <c r="L150" s="5">
        <v>5</v>
      </c>
      <c r="M150" s="5"/>
      <c r="N150" s="5"/>
      <c r="O150" s="5"/>
    </row>
    <row r="151" spans="1:15" ht="14" customHeight="1" x14ac:dyDescent="0.45">
      <c r="A151" s="7">
        <v>45540</v>
      </c>
      <c r="B151" s="5" t="s">
        <v>15</v>
      </c>
      <c r="C151" s="5" t="s">
        <v>90</v>
      </c>
      <c r="D151" s="5">
        <v>3</v>
      </c>
      <c r="E151" s="5">
        <v>5</v>
      </c>
      <c r="F151" s="5">
        <v>2</v>
      </c>
      <c r="G151" s="7">
        <v>45560</v>
      </c>
      <c r="H151" s="5" t="s">
        <v>108</v>
      </c>
      <c r="I151" s="5">
        <v>2</v>
      </c>
      <c r="J151" s="5" t="s">
        <v>19</v>
      </c>
      <c r="K151" s="6">
        <f>IF(J151=[7]Legend!$A$66,[7]Legend!$B$66,(IF(J151=[7]Legend!$A$67,[7]Legend!$B$67,IF(J151=[7]Legend!$A$68, [7]Legend!$B$68, IF(J151=[7]Legend!$A$69, [7]Legend!$B$69, IF(J151=[7]Legend!$A$70, [7]Legend!$B$70, IF(J151=[7]Legend!$A$71, [7]Legend!$B$71, IF(J151=[7]Legend!$A$72, [7]Legend!$B$72, (IF(J151=[7]Legend!$A$73, [7]Legend!$B$73, IF(J151=[7]Legend!$A$74, [7]Legend!$B$74, "")))))))))))</f>
        <v>9</v>
      </c>
      <c r="L151" s="5">
        <v>9</v>
      </c>
      <c r="M151" s="5"/>
      <c r="N151" s="5"/>
      <c r="O151" s="5"/>
    </row>
    <row r="152" spans="1:15" ht="14" customHeight="1" x14ac:dyDescent="0.45">
      <c r="A152" s="7">
        <v>45540</v>
      </c>
      <c r="B152" s="5" t="s">
        <v>15</v>
      </c>
      <c r="C152" s="5" t="s">
        <v>37</v>
      </c>
      <c r="D152" s="5">
        <v>3</v>
      </c>
      <c r="E152" s="5">
        <v>6</v>
      </c>
      <c r="F152" s="5">
        <v>2</v>
      </c>
      <c r="G152" s="7">
        <v>45559</v>
      </c>
      <c r="H152" s="5" t="s">
        <v>108</v>
      </c>
      <c r="I152" s="5">
        <v>2</v>
      </c>
      <c r="J152" s="5" t="s">
        <v>20</v>
      </c>
      <c r="K152" s="6">
        <f>IF(J152=[7]Legend!$A$66,[7]Legend!$B$66,(IF(J152=[7]Legend!$A$67,[7]Legend!$B$67,IF(J152=[7]Legend!$A$68, [7]Legend!$B$68, IF(J152=[7]Legend!$A$69, [7]Legend!$B$69, IF(J152=[7]Legend!$A$70, [7]Legend!$B$70, IF(J152=[7]Legend!$A$71, [7]Legend!$B$71, IF(J152=[7]Legend!$A$72, [7]Legend!$B$72, (IF(J152=[7]Legend!$A$73, [7]Legend!$B$73, IF(J152=[7]Legend!$A$74, [7]Legend!$B$74, "")))))))))))</f>
        <v>35</v>
      </c>
      <c r="L152" s="5">
        <v>35</v>
      </c>
      <c r="M152" s="5"/>
      <c r="N152" s="5"/>
      <c r="O152" s="5"/>
    </row>
    <row r="153" spans="1:15" ht="14" customHeight="1" x14ac:dyDescent="0.45">
      <c r="A153" s="7">
        <v>45540</v>
      </c>
      <c r="B153" s="5" t="s">
        <v>15</v>
      </c>
      <c r="C153" s="5" t="s">
        <v>37</v>
      </c>
      <c r="D153" s="5">
        <v>3</v>
      </c>
      <c r="E153" s="5">
        <v>6</v>
      </c>
      <c r="F153" s="5">
        <v>2</v>
      </c>
      <c r="G153" s="7">
        <v>45559</v>
      </c>
      <c r="H153" s="5" t="s">
        <v>108</v>
      </c>
      <c r="I153" s="5">
        <v>2</v>
      </c>
      <c r="J153" s="5" t="s">
        <v>18</v>
      </c>
      <c r="K153" s="6">
        <f>IF(J153=[7]Legend!$A$66,[7]Legend!$B$66,(IF(J153=[7]Legend!$A$67,[7]Legend!$B$67,IF(J153=[7]Legend!$A$68, [7]Legend!$B$68, IF(J153=[7]Legend!$A$69, [7]Legend!$B$69, IF(J153=[7]Legend!$A$70, [7]Legend!$B$70, IF(J153=[7]Legend!$A$71, [7]Legend!$B$71, IF(J153=[7]Legend!$A$72, [7]Legend!$B$72, (IF(J153=[7]Legend!$A$73, [7]Legend!$B$73, IF(J153=[7]Legend!$A$74, [7]Legend!$B$74, "")))))))))))</f>
        <v>5</v>
      </c>
      <c r="L153" s="5">
        <v>5</v>
      </c>
      <c r="M153" s="5"/>
      <c r="N153" s="5"/>
      <c r="O153" s="5"/>
    </row>
    <row r="154" spans="1:15" ht="14" customHeight="1" x14ac:dyDescent="0.45">
      <c r="A154" s="7">
        <v>45540</v>
      </c>
      <c r="B154" s="5" t="s">
        <v>15</v>
      </c>
      <c r="C154" s="5" t="s">
        <v>37</v>
      </c>
      <c r="D154" s="5">
        <v>3</v>
      </c>
      <c r="E154" s="5">
        <v>6</v>
      </c>
      <c r="F154" s="5">
        <v>2</v>
      </c>
      <c r="G154" s="7">
        <v>45559</v>
      </c>
      <c r="H154" s="5" t="s">
        <v>108</v>
      </c>
      <c r="I154" s="5">
        <v>2</v>
      </c>
      <c r="J154" s="5" t="s">
        <v>19</v>
      </c>
      <c r="K154" s="6">
        <f>IF(J154=[7]Legend!$A$66,[7]Legend!$B$66,(IF(J154=[7]Legend!$A$67,[7]Legend!$B$67,IF(J154=[7]Legend!$A$68, [7]Legend!$B$68, IF(J154=[7]Legend!$A$69, [7]Legend!$B$69, IF(J154=[7]Legend!$A$70, [7]Legend!$B$70, IF(J154=[7]Legend!$A$71, [7]Legend!$B$71, IF(J154=[7]Legend!$A$72, [7]Legend!$B$72, (IF(J154=[7]Legend!$A$73, [7]Legend!$B$73, IF(J154=[7]Legend!$A$74, [7]Legend!$B$74, "")))))))))))</f>
        <v>9</v>
      </c>
      <c r="L154" s="5">
        <v>9</v>
      </c>
      <c r="M154" s="5"/>
      <c r="N154" s="5"/>
      <c r="O154" s="5"/>
    </row>
    <row r="155" spans="1:15" ht="14" customHeight="1" x14ac:dyDescent="0.45">
      <c r="A155" s="7">
        <v>45540</v>
      </c>
      <c r="B155" s="5" t="s">
        <v>15</v>
      </c>
      <c r="C155" s="5" t="s">
        <v>37</v>
      </c>
      <c r="D155" s="5">
        <v>3</v>
      </c>
      <c r="E155" s="5">
        <v>6</v>
      </c>
      <c r="F155" s="5">
        <v>1</v>
      </c>
      <c r="G155" s="7">
        <v>45560</v>
      </c>
      <c r="H155" s="5" t="s">
        <v>108</v>
      </c>
      <c r="I155" s="5">
        <v>2</v>
      </c>
      <c r="J155" s="5" t="s">
        <v>20</v>
      </c>
      <c r="K155" s="6">
        <f>IF(J155=[7]Legend!$A$66,[7]Legend!$B$66,(IF(J155=[7]Legend!$A$67,[7]Legend!$B$67,IF(J155=[7]Legend!$A$68, [7]Legend!$B$68, IF(J155=[7]Legend!$A$69, [7]Legend!$B$69, IF(J155=[7]Legend!$A$70, [7]Legend!$B$70, IF(J155=[7]Legend!$A$71, [7]Legend!$B$71, IF(J155=[7]Legend!$A$72, [7]Legend!$B$72, (IF(J155=[7]Legend!$A$73, [7]Legend!$B$73, IF(J155=[7]Legend!$A$74, [7]Legend!$B$74, "")))))))))))</f>
        <v>35</v>
      </c>
      <c r="L155" s="5">
        <v>0</v>
      </c>
      <c r="M155" s="5"/>
      <c r="N155" s="5"/>
      <c r="O155" s="5"/>
    </row>
    <row r="156" spans="1:15" ht="14" customHeight="1" x14ac:dyDescent="0.45">
      <c r="A156" s="7">
        <v>45540</v>
      </c>
      <c r="B156" s="5" t="s">
        <v>15</v>
      </c>
      <c r="C156" s="5" t="s">
        <v>37</v>
      </c>
      <c r="D156" s="5">
        <v>3</v>
      </c>
      <c r="E156" s="5">
        <v>6</v>
      </c>
      <c r="F156" s="5">
        <v>1</v>
      </c>
      <c r="G156" s="7">
        <v>45560</v>
      </c>
      <c r="H156" s="5" t="s">
        <v>108</v>
      </c>
      <c r="I156" s="5">
        <v>2</v>
      </c>
      <c r="J156" s="5" t="s">
        <v>18</v>
      </c>
      <c r="K156" s="6">
        <f>IF(J156=[7]Legend!$A$66,[7]Legend!$B$66,(IF(J156=[7]Legend!$A$67,[7]Legend!$B$67,IF(J156=[7]Legend!$A$68, [7]Legend!$B$68, IF(J156=[7]Legend!$A$69, [7]Legend!$B$69, IF(J156=[7]Legend!$A$70, [7]Legend!$B$70, IF(J156=[7]Legend!$A$71, [7]Legend!$B$71, IF(J156=[7]Legend!$A$72, [7]Legend!$B$72, (IF(J156=[7]Legend!$A$73, [7]Legend!$B$73, IF(J156=[7]Legend!$A$74, [7]Legend!$B$74, "")))))))))))</f>
        <v>5</v>
      </c>
      <c r="L156" s="5">
        <v>0</v>
      </c>
      <c r="M156" s="5"/>
      <c r="N156" s="5"/>
      <c r="O156" s="5"/>
    </row>
    <row r="157" spans="1:15" ht="14" customHeight="1" x14ac:dyDescent="0.45">
      <c r="A157" s="7">
        <v>45540</v>
      </c>
      <c r="B157" s="5" t="s">
        <v>15</v>
      </c>
      <c r="C157" s="5" t="s">
        <v>37</v>
      </c>
      <c r="D157" s="5">
        <v>3</v>
      </c>
      <c r="E157" s="5">
        <v>6</v>
      </c>
      <c r="F157" s="5">
        <v>1</v>
      </c>
      <c r="G157" s="7">
        <v>45560</v>
      </c>
      <c r="H157" s="5" t="s">
        <v>108</v>
      </c>
      <c r="I157" s="5">
        <v>2</v>
      </c>
      <c r="J157" s="5" t="s">
        <v>19</v>
      </c>
      <c r="K157" s="6">
        <f>IF(J157=[7]Legend!$A$66,[7]Legend!$B$66,(IF(J157=[7]Legend!$A$67,[7]Legend!$B$67,IF(J157=[7]Legend!$A$68, [7]Legend!$B$68, IF(J157=[7]Legend!$A$69, [7]Legend!$B$69, IF(J157=[7]Legend!$A$70, [7]Legend!$B$70, IF(J157=[7]Legend!$A$71, [7]Legend!$B$71, IF(J157=[7]Legend!$A$72, [7]Legend!$B$72, (IF(J157=[7]Legend!$A$73, [7]Legend!$B$73, IF(J157=[7]Legend!$A$74, [7]Legend!$B$74, "")))))))))))</f>
        <v>9</v>
      </c>
      <c r="L157" s="5">
        <v>0</v>
      </c>
      <c r="M157" s="5"/>
      <c r="N157" s="5"/>
      <c r="O157" s="5"/>
    </row>
    <row r="158" spans="1:15" ht="14" customHeight="1" x14ac:dyDescent="0.45">
      <c r="A158" s="7">
        <v>45540</v>
      </c>
      <c r="B158" s="5" t="s">
        <v>15</v>
      </c>
      <c r="C158" s="5" t="s">
        <v>90</v>
      </c>
      <c r="D158" s="5">
        <v>3</v>
      </c>
      <c r="E158" s="5">
        <v>7</v>
      </c>
      <c r="F158" s="5">
        <v>1</v>
      </c>
      <c r="G158" s="7">
        <v>45560</v>
      </c>
      <c r="H158" s="5" t="s">
        <v>108</v>
      </c>
      <c r="I158" s="5">
        <v>2</v>
      </c>
      <c r="J158" s="5" t="s">
        <v>20</v>
      </c>
      <c r="K158" s="6">
        <f>IF(J158=[7]Legend!$A$66,[7]Legend!$B$66,(IF(J158=[7]Legend!$A$67,[7]Legend!$B$67,IF(J158=[7]Legend!$A$68, [7]Legend!$B$68, IF(J158=[7]Legend!$A$69, [7]Legend!$B$69, IF(J158=[7]Legend!$A$70, [7]Legend!$B$70, IF(J158=[7]Legend!$A$71, [7]Legend!$B$71, IF(J158=[7]Legend!$A$72, [7]Legend!$B$72, (IF(J158=[7]Legend!$A$73, [7]Legend!$B$73, IF(J158=[7]Legend!$A$74, [7]Legend!$B$74, "")))))))))))</f>
        <v>35</v>
      </c>
      <c r="L158" s="5">
        <v>0</v>
      </c>
      <c r="M158" s="5"/>
      <c r="N158" s="5"/>
      <c r="O158" s="5" t="s">
        <v>114</v>
      </c>
    </row>
    <row r="159" spans="1:15" ht="14" customHeight="1" x14ac:dyDescent="0.45">
      <c r="A159" s="7">
        <v>45540</v>
      </c>
      <c r="B159" s="5" t="s">
        <v>15</v>
      </c>
      <c r="C159" s="5" t="s">
        <v>90</v>
      </c>
      <c r="D159" s="5">
        <v>3</v>
      </c>
      <c r="E159" s="5">
        <v>7</v>
      </c>
      <c r="F159" s="5">
        <v>1</v>
      </c>
      <c r="G159" s="7">
        <v>45560</v>
      </c>
      <c r="H159" s="5" t="s">
        <v>108</v>
      </c>
      <c r="I159" s="5">
        <v>2</v>
      </c>
      <c r="J159" s="5" t="s">
        <v>18</v>
      </c>
      <c r="K159" s="6">
        <f>IF(J159=[7]Legend!$A$66,[7]Legend!$B$66,(IF(J159=[7]Legend!$A$67,[7]Legend!$B$67,IF(J159=[7]Legend!$A$68, [7]Legend!$B$68, IF(J159=[7]Legend!$A$69, [7]Legend!$B$69, IF(J159=[7]Legend!$A$70, [7]Legend!$B$70, IF(J159=[7]Legend!$A$71, [7]Legend!$B$71, IF(J159=[7]Legend!$A$72, [7]Legend!$B$72, (IF(J159=[7]Legend!$A$73, [7]Legend!$B$73, IF(J159=[7]Legend!$A$74, [7]Legend!$B$74, "")))))))))))</f>
        <v>5</v>
      </c>
      <c r="L159" s="5">
        <v>0</v>
      </c>
      <c r="M159" s="5"/>
      <c r="N159" s="5"/>
      <c r="O159" s="5"/>
    </row>
    <row r="160" spans="1:15" ht="14" customHeight="1" x14ac:dyDescent="0.45">
      <c r="A160" s="7">
        <v>45540</v>
      </c>
      <c r="B160" s="5" t="s">
        <v>15</v>
      </c>
      <c r="C160" s="5" t="s">
        <v>90</v>
      </c>
      <c r="D160" s="5">
        <v>3</v>
      </c>
      <c r="E160" s="5">
        <v>7</v>
      </c>
      <c r="F160" s="5">
        <v>1</v>
      </c>
      <c r="G160" s="7">
        <v>45560</v>
      </c>
      <c r="H160" s="5" t="s">
        <v>108</v>
      </c>
      <c r="I160" s="5">
        <v>2</v>
      </c>
      <c r="J160" s="5" t="s">
        <v>19</v>
      </c>
      <c r="K160" s="6">
        <f>IF(J160=[7]Legend!$A$66,[7]Legend!$B$66,(IF(J160=[7]Legend!$A$67,[7]Legend!$B$67,IF(J160=[7]Legend!$A$68, [7]Legend!$B$68, IF(J160=[7]Legend!$A$69, [7]Legend!$B$69, IF(J160=[7]Legend!$A$70, [7]Legend!$B$70, IF(J160=[7]Legend!$A$71, [7]Legend!$B$71, IF(J160=[7]Legend!$A$72, [7]Legend!$B$72, (IF(J160=[7]Legend!$A$73, [7]Legend!$B$73, IF(J160=[7]Legend!$A$74, [7]Legend!$B$74, "")))))))))))</f>
        <v>9</v>
      </c>
      <c r="L160" s="5">
        <v>0</v>
      </c>
      <c r="M160" s="5"/>
      <c r="N160" s="5"/>
      <c r="O160" s="5"/>
    </row>
    <row r="161" spans="1:15" ht="14" customHeight="1" x14ac:dyDescent="0.45">
      <c r="A161" s="7">
        <v>45540</v>
      </c>
      <c r="B161" s="5" t="s">
        <v>15</v>
      </c>
      <c r="C161" s="5" t="s">
        <v>90</v>
      </c>
      <c r="D161" s="5">
        <v>3</v>
      </c>
      <c r="E161" s="5">
        <v>7</v>
      </c>
      <c r="F161" s="5">
        <v>2</v>
      </c>
      <c r="G161" s="7">
        <v>45560</v>
      </c>
      <c r="H161" s="5" t="s">
        <v>108</v>
      </c>
      <c r="I161" s="5">
        <v>2</v>
      </c>
      <c r="J161" s="5" t="s">
        <v>20</v>
      </c>
      <c r="K161" s="6">
        <f>IF(J161=[7]Legend!$A$66,[7]Legend!$B$66,(IF(J161=[7]Legend!$A$67,[7]Legend!$B$67,IF(J161=[7]Legend!$A$68, [7]Legend!$B$68, IF(J161=[7]Legend!$A$69, [7]Legend!$B$69, IF(J161=[7]Legend!$A$70, [7]Legend!$B$70, IF(J161=[7]Legend!$A$71, [7]Legend!$B$71, IF(J161=[7]Legend!$A$72, [7]Legend!$B$72, (IF(J161=[7]Legend!$A$73, [7]Legend!$B$73, IF(J161=[7]Legend!$A$74, [7]Legend!$B$74, "")))))))))))</f>
        <v>35</v>
      </c>
      <c r="L161" s="5">
        <v>35</v>
      </c>
      <c r="M161" s="5">
        <v>2</v>
      </c>
      <c r="N161" s="5" t="s">
        <v>21</v>
      </c>
      <c r="O161" s="5" t="s">
        <v>114</v>
      </c>
    </row>
    <row r="162" spans="1:15" ht="14" customHeight="1" x14ac:dyDescent="0.45">
      <c r="A162" s="7">
        <v>45540</v>
      </c>
      <c r="B162" s="5" t="s">
        <v>15</v>
      </c>
      <c r="C162" s="5" t="s">
        <v>90</v>
      </c>
      <c r="D162" s="5">
        <v>3</v>
      </c>
      <c r="E162" s="5">
        <v>7</v>
      </c>
      <c r="F162" s="5">
        <v>2</v>
      </c>
      <c r="G162" s="7">
        <v>45560</v>
      </c>
      <c r="H162" s="5" t="s">
        <v>108</v>
      </c>
      <c r="I162" s="5">
        <v>2</v>
      </c>
      <c r="J162" s="5" t="s">
        <v>18</v>
      </c>
      <c r="K162" s="6">
        <f>IF(J162=[7]Legend!$A$66,[7]Legend!$B$66,(IF(J162=[7]Legend!$A$67,[7]Legend!$B$67,IF(J162=[7]Legend!$A$68, [7]Legend!$B$68, IF(J162=[7]Legend!$A$69, [7]Legend!$B$69, IF(J162=[7]Legend!$A$70, [7]Legend!$B$70, IF(J162=[7]Legend!$A$71, [7]Legend!$B$71, IF(J162=[7]Legend!$A$72, [7]Legend!$B$72, (IF(J162=[7]Legend!$A$73, [7]Legend!$B$73, IF(J162=[7]Legend!$A$74, [7]Legend!$B$74, "")))))))))))</f>
        <v>5</v>
      </c>
      <c r="L162" s="5">
        <v>5</v>
      </c>
      <c r="M162" s="5"/>
      <c r="N162" s="5"/>
      <c r="O162" s="5"/>
    </row>
    <row r="163" spans="1:15" ht="14" customHeight="1" x14ac:dyDescent="0.45">
      <c r="A163" s="7">
        <v>45540</v>
      </c>
      <c r="B163" s="5" t="s">
        <v>15</v>
      </c>
      <c r="C163" s="5" t="s">
        <v>90</v>
      </c>
      <c r="D163" s="5">
        <v>3</v>
      </c>
      <c r="E163" s="5">
        <v>7</v>
      </c>
      <c r="F163" s="5">
        <v>2</v>
      </c>
      <c r="G163" s="7">
        <v>45560</v>
      </c>
      <c r="H163" s="5" t="s">
        <v>108</v>
      </c>
      <c r="I163" s="5">
        <v>2</v>
      </c>
      <c r="J163" s="5" t="s">
        <v>19</v>
      </c>
      <c r="K163" s="6">
        <f>IF(J163=[7]Legend!$A$66,[7]Legend!$B$66,(IF(J163=[7]Legend!$A$67,[7]Legend!$B$67,IF(J163=[7]Legend!$A$68, [7]Legend!$B$68, IF(J163=[7]Legend!$A$69, [7]Legend!$B$69, IF(J163=[7]Legend!$A$70, [7]Legend!$B$70, IF(J163=[7]Legend!$A$71, [7]Legend!$B$71, IF(J163=[7]Legend!$A$72, [7]Legend!$B$72, (IF(J163=[7]Legend!$A$73, [7]Legend!$B$73, IF(J163=[7]Legend!$A$74, [7]Legend!$B$74, "")))))))))))</f>
        <v>9</v>
      </c>
      <c r="L163" s="5">
        <v>9</v>
      </c>
      <c r="M163" s="5"/>
      <c r="N163" s="5"/>
      <c r="O163" s="5"/>
    </row>
    <row r="164" spans="1:15" ht="14" customHeight="1" x14ac:dyDescent="0.45">
      <c r="A164" s="7">
        <v>45540</v>
      </c>
      <c r="B164" s="5" t="s">
        <v>15</v>
      </c>
      <c r="C164" s="5" t="s">
        <v>37</v>
      </c>
      <c r="D164" s="5">
        <v>3</v>
      </c>
      <c r="E164" s="5">
        <v>8</v>
      </c>
      <c r="F164" s="5">
        <v>2</v>
      </c>
      <c r="G164" s="7">
        <v>45559</v>
      </c>
      <c r="H164" s="5" t="s">
        <v>108</v>
      </c>
      <c r="I164" s="5">
        <v>2</v>
      </c>
      <c r="J164" s="5" t="s">
        <v>20</v>
      </c>
      <c r="K164" s="6">
        <f>IF(J164=[7]Legend!$A$66,[7]Legend!$B$66,(IF(J164=[7]Legend!$A$67,[7]Legend!$B$67,IF(J164=[7]Legend!$A$68, [7]Legend!$B$68, IF(J164=[7]Legend!$A$69, [7]Legend!$B$69, IF(J164=[7]Legend!$A$70, [7]Legend!$B$70, IF(J164=[7]Legend!$A$71, [7]Legend!$B$71, IF(J164=[7]Legend!$A$72, [7]Legend!$B$72, (IF(J164=[7]Legend!$A$73, [7]Legend!$B$73, IF(J164=[7]Legend!$A$74, [7]Legend!$B$74, "")))))))))))</f>
        <v>35</v>
      </c>
      <c r="L164" s="5">
        <v>35</v>
      </c>
      <c r="M164" s="5">
        <v>1</v>
      </c>
      <c r="N164" s="5" t="s">
        <v>21</v>
      </c>
      <c r="O164" s="5"/>
    </row>
    <row r="165" spans="1:15" ht="14" customHeight="1" x14ac:dyDescent="0.45">
      <c r="A165" s="7">
        <v>45540</v>
      </c>
      <c r="B165" s="5" t="s">
        <v>15</v>
      </c>
      <c r="C165" s="5" t="s">
        <v>37</v>
      </c>
      <c r="D165" s="5">
        <v>3</v>
      </c>
      <c r="E165" s="5">
        <v>8</v>
      </c>
      <c r="F165" s="5">
        <v>2</v>
      </c>
      <c r="G165" s="7">
        <v>45559</v>
      </c>
      <c r="H165" s="5" t="s">
        <v>108</v>
      </c>
      <c r="I165" s="5">
        <v>2</v>
      </c>
      <c r="J165" s="5" t="s">
        <v>18</v>
      </c>
      <c r="K165" s="6">
        <f>IF(J165=[7]Legend!$A$66,[7]Legend!$B$66,(IF(J165=[7]Legend!$A$67,[7]Legend!$B$67,IF(J165=[7]Legend!$A$68, [7]Legend!$B$68, IF(J165=[7]Legend!$A$69, [7]Legend!$B$69, IF(J165=[7]Legend!$A$70, [7]Legend!$B$70, IF(J165=[7]Legend!$A$71, [7]Legend!$B$71, IF(J165=[7]Legend!$A$72, [7]Legend!$B$72, (IF(J165=[7]Legend!$A$73, [7]Legend!$B$73, IF(J165=[7]Legend!$A$74, [7]Legend!$B$74, "")))))))))))</f>
        <v>5</v>
      </c>
      <c r="L165" s="5">
        <v>5</v>
      </c>
      <c r="M165" s="5"/>
      <c r="N165" s="5"/>
      <c r="O165" s="5"/>
    </row>
    <row r="166" spans="1:15" ht="14" customHeight="1" x14ac:dyDescent="0.45">
      <c r="A166" s="7">
        <v>45540</v>
      </c>
      <c r="B166" s="5" t="s">
        <v>15</v>
      </c>
      <c r="C166" s="5" t="s">
        <v>37</v>
      </c>
      <c r="D166" s="5">
        <v>3</v>
      </c>
      <c r="E166" s="5">
        <v>8</v>
      </c>
      <c r="F166" s="5">
        <v>2</v>
      </c>
      <c r="G166" s="7">
        <v>45559</v>
      </c>
      <c r="H166" s="5" t="s">
        <v>108</v>
      </c>
      <c r="I166" s="5">
        <v>2</v>
      </c>
      <c r="J166" s="5" t="s">
        <v>19</v>
      </c>
      <c r="K166" s="6">
        <f>IF(J166=[7]Legend!$A$66,[7]Legend!$B$66,(IF(J166=[7]Legend!$A$67,[7]Legend!$B$67,IF(J166=[7]Legend!$A$68, [7]Legend!$B$68, IF(J166=[7]Legend!$A$69, [7]Legend!$B$69, IF(J166=[7]Legend!$A$70, [7]Legend!$B$70, IF(J166=[7]Legend!$A$71, [7]Legend!$B$71, IF(J166=[7]Legend!$A$72, [7]Legend!$B$72, (IF(J166=[7]Legend!$A$73, [7]Legend!$B$73, IF(J166=[7]Legend!$A$74, [7]Legend!$B$74, "")))))))))))</f>
        <v>9</v>
      </c>
      <c r="L166" s="5">
        <v>9</v>
      </c>
      <c r="M166" s="5"/>
      <c r="N166" s="5"/>
      <c r="O166" s="5"/>
    </row>
    <row r="167" spans="1:15" ht="14" customHeight="1" x14ac:dyDescent="0.45">
      <c r="A167" s="7">
        <v>45540</v>
      </c>
      <c r="B167" s="5" t="s">
        <v>15</v>
      </c>
      <c r="C167" s="5" t="s">
        <v>37</v>
      </c>
      <c r="D167" s="5">
        <v>3</v>
      </c>
      <c r="E167" s="5">
        <v>8</v>
      </c>
      <c r="F167" s="5">
        <v>1</v>
      </c>
      <c r="G167" s="7">
        <v>45560</v>
      </c>
      <c r="H167" s="5" t="s">
        <v>108</v>
      </c>
      <c r="I167" s="5">
        <v>2</v>
      </c>
      <c r="J167" s="5" t="s">
        <v>20</v>
      </c>
      <c r="K167" s="6">
        <f>IF(J167=[7]Legend!$A$66,[7]Legend!$B$66,(IF(J167=[7]Legend!$A$67,[7]Legend!$B$67,IF(J167=[7]Legend!$A$68, [7]Legend!$B$68, IF(J167=[7]Legend!$A$69, [7]Legend!$B$69, IF(J167=[7]Legend!$A$70, [7]Legend!$B$70, IF(J167=[7]Legend!$A$71, [7]Legend!$B$71, IF(J167=[7]Legend!$A$72, [7]Legend!$B$72, (IF(J167=[7]Legend!$A$73, [7]Legend!$B$73, IF(J167=[7]Legend!$A$74, [7]Legend!$B$74, "")))))))))))</f>
        <v>35</v>
      </c>
      <c r="L167" s="5">
        <v>35</v>
      </c>
      <c r="M167" s="5">
        <v>2</v>
      </c>
      <c r="N167" s="5" t="s">
        <v>21</v>
      </c>
      <c r="O167" s="5"/>
    </row>
    <row r="168" spans="1:15" ht="14" customHeight="1" x14ac:dyDescent="0.45">
      <c r="A168" s="7">
        <v>45540</v>
      </c>
      <c r="B168" s="5" t="s">
        <v>15</v>
      </c>
      <c r="C168" s="5" t="s">
        <v>37</v>
      </c>
      <c r="D168" s="5">
        <v>3</v>
      </c>
      <c r="E168" s="5">
        <v>8</v>
      </c>
      <c r="F168" s="5">
        <v>1</v>
      </c>
      <c r="G168" s="7">
        <v>45560</v>
      </c>
      <c r="H168" s="5" t="s">
        <v>108</v>
      </c>
      <c r="I168" s="5">
        <v>2</v>
      </c>
      <c r="J168" s="5" t="s">
        <v>18</v>
      </c>
      <c r="K168" s="6">
        <f>IF(J168=[7]Legend!$A$66,[7]Legend!$B$66,(IF(J168=[7]Legend!$A$67,[7]Legend!$B$67,IF(J168=[7]Legend!$A$68, [7]Legend!$B$68, IF(J168=[7]Legend!$A$69, [7]Legend!$B$69, IF(J168=[7]Legend!$A$70, [7]Legend!$B$70, IF(J168=[7]Legend!$A$71, [7]Legend!$B$71, IF(J168=[7]Legend!$A$72, [7]Legend!$B$72, (IF(J168=[7]Legend!$A$73, [7]Legend!$B$73, IF(J168=[7]Legend!$A$74, [7]Legend!$B$74, "")))))))))))</f>
        <v>5</v>
      </c>
      <c r="L168" s="5">
        <v>5</v>
      </c>
      <c r="M168" s="5"/>
      <c r="N168" s="5"/>
      <c r="O168" s="5"/>
    </row>
    <row r="169" spans="1:15" ht="14" customHeight="1" x14ac:dyDescent="0.45">
      <c r="A169" s="7">
        <v>45540</v>
      </c>
      <c r="B169" s="5" t="s">
        <v>15</v>
      </c>
      <c r="C169" s="5" t="s">
        <v>37</v>
      </c>
      <c r="D169" s="5">
        <v>3</v>
      </c>
      <c r="E169" s="5">
        <v>8</v>
      </c>
      <c r="F169" s="5">
        <v>1</v>
      </c>
      <c r="G169" s="7">
        <v>45560</v>
      </c>
      <c r="H169" s="5" t="s">
        <v>108</v>
      </c>
      <c r="I169" s="5">
        <v>2</v>
      </c>
      <c r="J169" s="5" t="s">
        <v>19</v>
      </c>
      <c r="K169" s="6">
        <f>IF(J169=[7]Legend!$A$66,[7]Legend!$B$66,(IF(J169=[7]Legend!$A$67,[7]Legend!$B$67,IF(J169=[7]Legend!$A$68, [7]Legend!$B$68, IF(J169=[7]Legend!$A$69, [7]Legend!$B$69, IF(J169=[7]Legend!$A$70, [7]Legend!$B$70, IF(J169=[7]Legend!$A$71, [7]Legend!$B$71, IF(J169=[7]Legend!$A$72, [7]Legend!$B$72, (IF(J169=[7]Legend!$A$73, [7]Legend!$B$73, IF(J169=[7]Legend!$A$74, [7]Legend!$B$74, "")))))))))))</f>
        <v>9</v>
      </c>
      <c r="L169" s="5">
        <v>9</v>
      </c>
      <c r="M169" s="5"/>
      <c r="N169" s="5"/>
      <c r="O169" s="5"/>
    </row>
    <row r="170" spans="1:15" ht="14" customHeight="1" x14ac:dyDescent="0.45">
      <c r="A170" s="7">
        <v>45540</v>
      </c>
      <c r="B170" s="5" t="s">
        <v>15</v>
      </c>
      <c r="C170" s="5" t="s">
        <v>16</v>
      </c>
      <c r="D170" s="5">
        <v>3</v>
      </c>
      <c r="E170" s="5">
        <v>9</v>
      </c>
      <c r="F170" s="5">
        <v>2</v>
      </c>
      <c r="G170" s="7">
        <v>45559</v>
      </c>
      <c r="H170" s="5" t="s">
        <v>108</v>
      </c>
      <c r="I170" s="5">
        <v>2</v>
      </c>
      <c r="J170" s="5" t="s">
        <v>20</v>
      </c>
      <c r="K170" s="6">
        <f>IF(J170=[7]Legend!$A$66,[7]Legend!$B$66,(IF(J170=[7]Legend!$A$67,[7]Legend!$B$67,IF(J170=[7]Legend!$A$68, [7]Legend!$B$68, IF(J170=[7]Legend!$A$69, [7]Legend!$B$69, IF(J170=[7]Legend!$A$70, [7]Legend!$B$70, IF(J170=[7]Legend!$A$71, [7]Legend!$B$71, IF(J170=[7]Legend!$A$72, [7]Legend!$B$72, (IF(J170=[7]Legend!$A$73, [7]Legend!$B$73, IF(J170=[7]Legend!$A$74, [7]Legend!$B$74, "")))))))))))</f>
        <v>35</v>
      </c>
      <c r="L170" s="5">
        <v>35</v>
      </c>
      <c r="M170" s="5"/>
      <c r="N170" s="5"/>
      <c r="O170" s="5"/>
    </row>
    <row r="171" spans="1:15" ht="14" customHeight="1" x14ac:dyDescent="0.45">
      <c r="A171" s="7">
        <v>45540</v>
      </c>
      <c r="B171" s="5" t="s">
        <v>15</v>
      </c>
      <c r="C171" s="5" t="s">
        <v>16</v>
      </c>
      <c r="D171" s="5">
        <v>3</v>
      </c>
      <c r="E171" s="5">
        <v>9</v>
      </c>
      <c r="F171" s="5">
        <v>2</v>
      </c>
      <c r="G171" s="7">
        <v>45559</v>
      </c>
      <c r="H171" s="5" t="s">
        <v>108</v>
      </c>
      <c r="I171" s="5">
        <v>2</v>
      </c>
      <c r="J171" s="5" t="s">
        <v>18</v>
      </c>
      <c r="K171" s="6">
        <f>IF(J171=[7]Legend!$A$66,[7]Legend!$B$66,(IF(J171=[7]Legend!$A$67,[7]Legend!$B$67,IF(J171=[7]Legend!$A$68, [7]Legend!$B$68, IF(J171=[7]Legend!$A$69, [7]Legend!$B$69, IF(J171=[7]Legend!$A$70, [7]Legend!$B$70, IF(J171=[7]Legend!$A$71, [7]Legend!$B$71, IF(J171=[7]Legend!$A$72, [7]Legend!$B$72, (IF(J171=[7]Legend!$A$73, [7]Legend!$B$73, IF(J171=[7]Legend!$A$74, [7]Legend!$B$74, "")))))))))))</f>
        <v>5</v>
      </c>
      <c r="L171" s="5">
        <v>5</v>
      </c>
      <c r="M171" s="5"/>
      <c r="N171" s="5"/>
      <c r="O171" s="5"/>
    </row>
    <row r="172" spans="1:15" ht="14" customHeight="1" x14ac:dyDescent="0.45">
      <c r="A172" s="7">
        <v>45540</v>
      </c>
      <c r="B172" s="5" t="s">
        <v>15</v>
      </c>
      <c r="C172" s="5" t="s">
        <v>16</v>
      </c>
      <c r="D172" s="5">
        <v>3</v>
      </c>
      <c r="E172" s="5">
        <v>9</v>
      </c>
      <c r="F172" s="5">
        <v>2</v>
      </c>
      <c r="G172" s="7">
        <v>45559</v>
      </c>
      <c r="H172" s="5" t="s">
        <v>108</v>
      </c>
      <c r="I172" s="5">
        <v>2</v>
      </c>
      <c r="J172" s="5" t="s">
        <v>19</v>
      </c>
      <c r="K172" s="6">
        <f>IF(J172=[7]Legend!$A$66,[7]Legend!$B$66,(IF(J172=[7]Legend!$A$67,[7]Legend!$B$67,IF(J172=[7]Legend!$A$68, [7]Legend!$B$68, IF(J172=[7]Legend!$A$69, [7]Legend!$B$69, IF(J172=[7]Legend!$A$70, [7]Legend!$B$70, IF(J172=[7]Legend!$A$71, [7]Legend!$B$71, IF(J172=[7]Legend!$A$72, [7]Legend!$B$72, (IF(J172=[7]Legend!$A$73, [7]Legend!$B$73, IF(J172=[7]Legend!$A$74, [7]Legend!$B$74, "")))))))))))</f>
        <v>9</v>
      </c>
      <c r="L172" s="5">
        <v>9</v>
      </c>
      <c r="M172" s="5"/>
      <c r="N172" s="5"/>
      <c r="O172" s="5"/>
    </row>
    <row r="173" spans="1:15" ht="14" customHeight="1" x14ac:dyDescent="0.45">
      <c r="A173" s="7">
        <v>45540</v>
      </c>
      <c r="B173" s="5" t="s">
        <v>15</v>
      </c>
      <c r="C173" s="5" t="s">
        <v>43</v>
      </c>
      <c r="D173" s="5">
        <v>3</v>
      </c>
      <c r="E173" s="5">
        <v>9</v>
      </c>
      <c r="F173" s="5">
        <v>1</v>
      </c>
      <c r="G173" s="7">
        <v>45559</v>
      </c>
      <c r="H173" s="5" t="s">
        <v>108</v>
      </c>
      <c r="I173" s="5">
        <v>2</v>
      </c>
      <c r="J173" s="5" t="s">
        <v>20</v>
      </c>
      <c r="K173" s="6">
        <f>IF(J173=[7]Legend!$A$66,[7]Legend!$B$66,(IF(J173=[7]Legend!$A$67,[7]Legend!$B$67,IF(J173=[7]Legend!$A$68, [7]Legend!$B$68, IF(J173=[7]Legend!$A$69, [7]Legend!$B$69, IF(J173=[7]Legend!$A$70, [7]Legend!$B$70, IF(J173=[7]Legend!$A$71, [7]Legend!$B$71, IF(J173=[7]Legend!$A$72, [7]Legend!$B$72, (IF(J173=[7]Legend!$A$73, [7]Legend!$B$73, IF(J173=[7]Legend!$A$74, [7]Legend!$B$74, "")))))))))))</f>
        <v>35</v>
      </c>
      <c r="L173" s="5">
        <v>4</v>
      </c>
      <c r="M173" s="5">
        <v>2</v>
      </c>
      <c r="N173" s="5" t="s">
        <v>30</v>
      </c>
      <c r="O173" s="5"/>
    </row>
    <row r="174" spans="1:15" ht="14" customHeight="1" x14ac:dyDescent="0.45">
      <c r="A174" s="7">
        <v>45540</v>
      </c>
      <c r="B174" s="5" t="s">
        <v>15</v>
      </c>
      <c r="C174" s="5" t="s">
        <v>43</v>
      </c>
      <c r="D174" s="5">
        <v>3</v>
      </c>
      <c r="E174" s="5">
        <v>9</v>
      </c>
      <c r="F174" s="5">
        <v>1</v>
      </c>
      <c r="G174" s="7">
        <v>45559</v>
      </c>
      <c r="H174" s="5" t="s">
        <v>108</v>
      </c>
      <c r="I174" s="5">
        <v>2</v>
      </c>
      <c r="J174" s="5" t="s">
        <v>18</v>
      </c>
      <c r="K174" s="6">
        <f>IF(J174=[7]Legend!$A$66,[7]Legend!$B$66,(IF(J174=[7]Legend!$A$67,[7]Legend!$B$67,IF(J174=[7]Legend!$A$68, [7]Legend!$B$68, IF(J174=[7]Legend!$A$69, [7]Legend!$B$69, IF(J174=[7]Legend!$A$70, [7]Legend!$B$70, IF(J174=[7]Legend!$A$71, [7]Legend!$B$71, IF(J174=[7]Legend!$A$72, [7]Legend!$B$72, (IF(J174=[7]Legend!$A$73, [7]Legend!$B$73, IF(J174=[7]Legend!$A$74, [7]Legend!$B$74, "")))))))))))</f>
        <v>5</v>
      </c>
      <c r="L174" s="5">
        <v>0</v>
      </c>
      <c r="M174" s="5"/>
      <c r="N174" s="5"/>
      <c r="O174" s="5"/>
    </row>
    <row r="175" spans="1:15" ht="14" customHeight="1" x14ac:dyDescent="0.45">
      <c r="A175" s="7">
        <v>45540</v>
      </c>
      <c r="B175" s="5" t="s">
        <v>15</v>
      </c>
      <c r="C175" s="5" t="s">
        <v>43</v>
      </c>
      <c r="D175" s="5">
        <v>3</v>
      </c>
      <c r="E175" s="5">
        <v>9</v>
      </c>
      <c r="F175" s="5">
        <v>1</v>
      </c>
      <c r="G175" s="7">
        <v>45559</v>
      </c>
      <c r="H175" s="5" t="s">
        <v>108</v>
      </c>
      <c r="I175" s="5">
        <v>2</v>
      </c>
      <c r="J175" s="5" t="s">
        <v>19</v>
      </c>
      <c r="K175" s="6">
        <f>IF(J175=[7]Legend!$A$66,[7]Legend!$B$66,(IF(J175=[7]Legend!$A$67,[7]Legend!$B$67,IF(J175=[7]Legend!$A$68, [7]Legend!$B$68, IF(J175=[7]Legend!$A$69, [7]Legend!$B$69, IF(J175=[7]Legend!$A$70, [7]Legend!$B$70, IF(J175=[7]Legend!$A$71, [7]Legend!$B$71, IF(J175=[7]Legend!$A$72, [7]Legend!$B$72, (IF(J175=[7]Legend!$A$73, [7]Legend!$B$73, IF(J175=[7]Legend!$A$74, [7]Legend!$B$74, "")))))))))))</f>
        <v>9</v>
      </c>
      <c r="L175" s="5">
        <v>2</v>
      </c>
      <c r="M175" s="5"/>
      <c r="N175" s="5"/>
      <c r="O175" s="5"/>
    </row>
    <row r="176" spans="1:15" ht="14" customHeight="1" x14ac:dyDescent="0.45">
      <c r="A176" s="7">
        <v>45540</v>
      </c>
      <c r="B176" s="5" t="s">
        <v>15</v>
      </c>
      <c r="C176" s="5" t="s">
        <v>37</v>
      </c>
      <c r="D176" s="5">
        <v>3</v>
      </c>
      <c r="E176" s="5">
        <v>10</v>
      </c>
      <c r="F176" s="5">
        <v>1</v>
      </c>
      <c r="G176" s="7">
        <v>45560</v>
      </c>
      <c r="H176" s="5" t="s">
        <v>108</v>
      </c>
      <c r="I176" s="5">
        <v>2</v>
      </c>
      <c r="J176" s="5" t="s">
        <v>20</v>
      </c>
      <c r="K176" s="6">
        <f>IF(J176=[7]Legend!$A$66,[7]Legend!$B$66,(IF(J176=[7]Legend!$A$67,[7]Legend!$B$67,IF(J176=[7]Legend!$A$68, [7]Legend!$B$68, IF(J176=[7]Legend!$A$69, [7]Legend!$B$69, IF(J176=[7]Legend!$A$70, [7]Legend!$B$70, IF(J176=[7]Legend!$A$71, [7]Legend!$B$71, IF(J176=[7]Legend!$A$72, [7]Legend!$B$72, (IF(J176=[7]Legend!$A$73, [7]Legend!$B$73, IF(J176=[7]Legend!$A$74, [7]Legend!$B$74, "")))))))))))</f>
        <v>35</v>
      </c>
      <c r="L176" s="5">
        <v>10</v>
      </c>
      <c r="M176" s="5">
        <v>2</v>
      </c>
      <c r="N176" s="5" t="s">
        <v>30</v>
      </c>
      <c r="O176" s="5"/>
    </row>
    <row r="177" spans="1:15" ht="14" customHeight="1" x14ac:dyDescent="0.45">
      <c r="A177" s="7">
        <v>45540</v>
      </c>
      <c r="B177" s="5" t="s">
        <v>15</v>
      </c>
      <c r="C177" s="5" t="s">
        <v>37</v>
      </c>
      <c r="D177" s="5">
        <v>3</v>
      </c>
      <c r="E177" s="5">
        <v>10</v>
      </c>
      <c r="F177" s="5">
        <v>1</v>
      </c>
      <c r="G177" s="7">
        <v>45560</v>
      </c>
      <c r="H177" s="5" t="s">
        <v>108</v>
      </c>
      <c r="I177" s="5">
        <v>2</v>
      </c>
      <c r="J177" s="5" t="s">
        <v>18</v>
      </c>
      <c r="K177" s="6">
        <f>IF(J177=[7]Legend!$A$66,[7]Legend!$B$66,(IF(J177=[7]Legend!$A$67,[7]Legend!$B$67,IF(J177=[7]Legend!$A$68, [7]Legend!$B$68, IF(J177=[7]Legend!$A$69, [7]Legend!$B$69, IF(J177=[7]Legend!$A$70, [7]Legend!$B$70, IF(J177=[7]Legend!$A$71, [7]Legend!$B$71, IF(J177=[7]Legend!$A$72, [7]Legend!$B$72, (IF(J177=[7]Legend!$A$73, [7]Legend!$B$73, IF(J177=[7]Legend!$A$74, [7]Legend!$B$74, "")))))))))))</f>
        <v>5</v>
      </c>
      <c r="L177" s="5">
        <v>0</v>
      </c>
      <c r="M177" s="5"/>
      <c r="N177" s="5"/>
      <c r="O177" s="5"/>
    </row>
    <row r="178" spans="1:15" ht="14" customHeight="1" x14ac:dyDescent="0.45">
      <c r="A178" s="7">
        <v>45540</v>
      </c>
      <c r="B178" s="5" t="s">
        <v>15</v>
      </c>
      <c r="C178" s="5" t="s">
        <v>37</v>
      </c>
      <c r="D178" s="5">
        <v>3</v>
      </c>
      <c r="E178" s="5">
        <v>10</v>
      </c>
      <c r="F178" s="5">
        <v>1</v>
      </c>
      <c r="G178" s="7">
        <v>45560</v>
      </c>
      <c r="H178" s="5" t="s">
        <v>108</v>
      </c>
      <c r="I178" s="5">
        <v>2</v>
      </c>
      <c r="J178" s="5" t="s">
        <v>19</v>
      </c>
      <c r="K178" s="6">
        <f>IF(J178=[7]Legend!$A$66,[7]Legend!$B$66,(IF(J178=[7]Legend!$A$67,[7]Legend!$B$67,IF(J178=[7]Legend!$A$68, [7]Legend!$B$68, IF(J178=[7]Legend!$A$69, [7]Legend!$B$69, IF(J178=[7]Legend!$A$70, [7]Legend!$B$70, IF(J178=[7]Legend!$A$71, [7]Legend!$B$71, IF(J178=[7]Legend!$A$72, [7]Legend!$B$72, (IF(J178=[7]Legend!$A$73, [7]Legend!$B$73, IF(J178=[7]Legend!$A$74, [7]Legend!$B$74, "")))))))))))</f>
        <v>9</v>
      </c>
      <c r="L178" s="5">
        <v>4</v>
      </c>
      <c r="M178" s="5">
        <v>2</v>
      </c>
      <c r="N178" s="5" t="s">
        <v>21</v>
      </c>
      <c r="O178" s="5"/>
    </row>
    <row r="179" spans="1:15" ht="14" customHeight="1" x14ac:dyDescent="0.45">
      <c r="A179" s="7">
        <v>45540</v>
      </c>
      <c r="B179" s="5" t="s">
        <v>15</v>
      </c>
      <c r="C179" s="5" t="s">
        <v>16</v>
      </c>
      <c r="D179" s="5">
        <v>3</v>
      </c>
      <c r="E179" s="5">
        <v>10</v>
      </c>
      <c r="F179" s="5">
        <v>2</v>
      </c>
      <c r="G179" s="7">
        <v>45560</v>
      </c>
      <c r="H179" s="5" t="s">
        <v>108</v>
      </c>
      <c r="I179" s="5">
        <v>2</v>
      </c>
      <c r="J179" s="5" t="s">
        <v>20</v>
      </c>
      <c r="K179" s="6">
        <f>IF(J179=[7]Legend!$A$66,[7]Legend!$B$66,(IF(J179=[7]Legend!$A$67,[7]Legend!$B$67,IF(J179=[7]Legend!$A$68, [7]Legend!$B$68, IF(J179=[7]Legend!$A$69, [7]Legend!$B$69, IF(J179=[7]Legend!$A$70, [7]Legend!$B$70, IF(J179=[7]Legend!$A$71, [7]Legend!$B$71, IF(J179=[7]Legend!$A$72, [7]Legend!$B$72, (IF(J179=[7]Legend!$A$73, [7]Legend!$B$73, IF(J179=[7]Legend!$A$74, [7]Legend!$B$74, "")))))))))))</f>
        <v>35</v>
      </c>
      <c r="L179" s="5">
        <v>35</v>
      </c>
      <c r="M179" s="5">
        <v>1</v>
      </c>
      <c r="N179" s="5" t="s">
        <v>21</v>
      </c>
      <c r="O179" s="5"/>
    </row>
    <row r="180" spans="1:15" ht="14" customHeight="1" x14ac:dyDescent="0.45">
      <c r="A180" s="7">
        <v>45540</v>
      </c>
      <c r="B180" s="5" t="s">
        <v>15</v>
      </c>
      <c r="C180" s="5" t="s">
        <v>16</v>
      </c>
      <c r="D180" s="5">
        <v>3</v>
      </c>
      <c r="E180" s="5">
        <v>10</v>
      </c>
      <c r="F180" s="5">
        <v>2</v>
      </c>
      <c r="G180" s="7">
        <v>45560</v>
      </c>
      <c r="H180" s="5" t="s">
        <v>108</v>
      </c>
      <c r="I180" s="5">
        <v>2</v>
      </c>
      <c r="J180" s="5" t="s">
        <v>18</v>
      </c>
      <c r="K180" s="6">
        <f>IF(J180=[7]Legend!$A$66,[7]Legend!$B$66,(IF(J180=[7]Legend!$A$67,[7]Legend!$B$67,IF(J180=[7]Legend!$A$68, [7]Legend!$B$68, IF(J180=[7]Legend!$A$69, [7]Legend!$B$69, IF(J180=[7]Legend!$A$70, [7]Legend!$B$70, IF(J180=[7]Legend!$A$71, [7]Legend!$B$71, IF(J180=[7]Legend!$A$72, [7]Legend!$B$72, (IF(J180=[7]Legend!$A$73, [7]Legend!$B$73, IF(J180=[7]Legend!$A$74, [7]Legend!$B$74, "")))))))))))</f>
        <v>5</v>
      </c>
      <c r="L180" s="5">
        <v>5</v>
      </c>
      <c r="M180" s="5"/>
      <c r="N180" s="5"/>
      <c r="O180" s="5"/>
    </row>
    <row r="181" spans="1:15" ht="14" customHeight="1" x14ac:dyDescent="0.45">
      <c r="A181" s="7">
        <v>45540</v>
      </c>
      <c r="B181" s="5" t="s">
        <v>15</v>
      </c>
      <c r="C181" s="5" t="s">
        <v>16</v>
      </c>
      <c r="D181" s="5">
        <v>3</v>
      </c>
      <c r="E181" s="5">
        <v>10</v>
      </c>
      <c r="F181" s="5">
        <v>2</v>
      </c>
      <c r="G181" s="7">
        <v>45560</v>
      </c>
      <c r="H181" s="5" t="s">
        <v>108</v>
      </c>
      <c r="I181" s="5">
        <v>2</v>
      </c>
      <c r="J181" s="5" t="s">
        <v>19</v>
      </c>
      <c r="K181" s="6">
        <f>IF(J181=[7]Legend!$A$66,[7]Legend!$B$66,(IF(J181=[7]Legend!$A$67,[7]Legend!$B$67,IF(J181=[7]Legend!$A$68, [7]Legend!$B$68, IF(J181=[7]Legend!$A$69, [7]Legend!$B$69, IF(J181=[7]Legend!$A$70, [7]Legend!$B$70, IF(J181=[7]Legend!$A$71, [7]Legend!$B$71, IF(J181=[7]Legend!$A$72, [7]Legend!$B$72, (IF(J181=[7]Legend!$A$73, [7]Legend!$B$73, IF(J181=[7]Legend!$A$74, [7]Legend!$B$74, "")))))))))))</f>
        <v>9</v>
      </c>
      <c r="L181" s="5">
        <v>9</v>
      </c>
      <c r="M181" s="5"/>
      <c r="N181" s="5"/>
      <c r="O181" s="5"/>
    </row>
  </sheetData>
  <sortState xmlns:xlrd2="http://schemas.microsoft.com/office/spreadsheetml/2017/richdata2" ref="A2:O183">
    <sortCondition ref="D1:D183"/>
  </sortState>
  <dataValidations count="2">
    <dataValidation type="whole" operator="lessThanOrEqual" allowBlank="1" showInputMessage="1" showErrorMessage="1" sqref="M2 M26 M56" xr:uid="{28D8AB69-EAF3-44C6-A289-8125415C51B1}">
      <formula1>K2</formula1>
      <formula2>0</formula2>
    </dataValidation>
    <dataValidation type="whole" operator="lessThanOrEqual" allowBlank="1" showInputMessage="1" showErrorMessage="1" sqref="L2 L26 L56" xr:uid="{06CA27FC-6029-4C8D-B4A6-26A641712675}">
      <formula1>K2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74B6-AA1C-48DD-8656-3EB757EF85E2}">
  <dimension ref="A1:Q184"/>
  <sheetViews>
    <sheetView topLeftCell="A172" workbookViewId="0">
      <selection activeCell="F32" sqref="F32"/>
    </sheetView>
  </sheetViews>
  <sheetFormatPr baseColWidth="10" defaultRowHeight="14.25" x14ac:dyDescent="0.45"/>
  <sheetData>
    <row r="1" spans="1:17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7" ht="14" customHeight="1" x14ac:dyDescent="0.45">
      <c r="A2" s="7">
        <v>45553</v>
      </c>
      <c r="B2" s="5" t="s">
        <v>59</v>
      </c>
      <c r="C2" s="5"/>
      <c r="D2" s="5">
        <v>1</v>
      </c>
      <c r="E2" s="5">
        <v>1</v>
      </c>
      <c r="F2" s="5">
        <v>1</v>
      </c>
      <c r="G2" s="7">
        <v>45587</v>
      </c>
      <c r="H2" s="5" t="s">
        <v>17</v>
      </c>
      <c r="I2" s="5">
        <v>3</v>
      </c>
      <c r="J2" s="5" t="s">
        <v>60</v>
      </c>
      <c r="K2" s="6">
        <f>IF(J2=[1]Legend!$A$66,[1]Legend!$B$66,(IF(J2=[1]Legend!$A$67,[1]Legend!$B$67,IF(J2=[1]Legend!$A$68, [1]Legend!$B$68, IF(J2=[1]Legend!$A$69, [1]Legend!$B$69, IF(J2=[1]Legend!$A$70, [1]Legend!$B$70, IF(J2=[1]Legend!$A$71, [1]Legend!$B$71, IF(J2=[1]Legend!$A$72, [1]Legend!$B$72, (IF(J2=[1]Legend!$A$73, [1]Legend!$B$73, IF(J2=[1]Legend!$A$74, [1]Legend!$B$74, "")))))))))))</f>
        <v>25</v>
      </c>
      <c r="L2" s="5">
        <v>25</v>
      </c>
      <c r="M2" s="5"/>
      <c r="N2" s="5"/>
      <c r="O2" s="5"/>
      <c r="Q2" s="30" t="s">
        <v>177</v>
      </c>
    </row>
    <row r="3" spans="1:17" ht="14" customHeight="1" x14ac:dyDescent="0.45">
      <c r="A3" s="7">
        <v>45553</v>
      </c>
      <c r="B3" s="5" t="s">
        <v>59</v>
      </c>
      <c r="C3" s="5"/>
      <c r="D3" s="5">
        <v>1</v>
      </c>
      <c r="E3" s="5">
        <v>1</v>
      </c>
      <c r="F3" s="5">
        <v>1</v>
      </c>
      <c r="G3" s="7">
        <v>45587</v>
      </c>
      <c r="H3" s="5" t="s">
        <v>17</v>
      </c>
      <c r="I3" s="5">
        <v>3</v>
      </c>
      <c r="J3" s="5" t="s">
        <v>18</v>
      </c>
      <c r="K3" s="6">
        <f>IF(J3=[1]Legend!$A$66,[1]Legend!$B$66,(IF(J3=[1]Legend!$A$67,[1]Legend!$B$67,IF(J3=[1]Legend!$A$68, [1]Legend!$B$68, IF(J3=[1]Legend!$A$69, [1]Legend!$B$69, IF(J3=[1]Legend!$A$70, [1]Legend!$B$70, IF(J3=[1]Legend!$A$71, [1]Legend!$B$71, IF(J3=[1]Legend!$A$72, [1]Legend!$B$72, (IF(J3=[1]Legend!$A$73, [1]Legend!$B$73, IF(J3=[1]Legend!$A$74, [1]Legend!$B$74, "")))))))))))</f>
        <v>5</v>
      </c>
      <c r="L3" s="5">
        <v>5</v>
      </c>
      <c r="M3" s="5"/>
      <c r="N3" s="5"/>
      <c r="O3" s="5"/>
    </row>
    <row r="4" spans="1:17" ht="14" customHeight="1" x14ac:dyDescent="0.45">
      <c r="A4" s="7">
        <v>45553</v>
      </c>
      <c r="B4" s="5" t="s">
        <v>59</v>
      </c>
      <c r="C4" s="5"/>
      <c r="D4" s="5">
        <v>1</v>
      </c>
      <c r="E4" s="5">
        <v>1</v>
      </c>
      <c r="F4" s="5">
        <v>1</v>
      </c>
      <c r="G4" s="7">
        <v>45587</v>
      </c>
      <c r="H4" s="5" t="s">
        <v>17</v>
      </c>
      <c r="I4" s="5">
        <v>3</v>
      </c>
      <c r="J4" s="5" t="s">
        <v>19</v>
      </c>
      <c r="K4" s="6">
        <f>IF(J4=[1]Legend!$A$66,[1]Legend!$B$66,(IF(J4=[1]Legend!$A$67,[1]Legend!$B$67,IF(J4=[1]Legend!$A$68, [1]Legend!$B$68, IF(J4=[1]Legend!$A$69, [1]Legend!$B$69, IF(J4=[1]Legend!$A$70, [1]Legend!$B$70, IF(J4=[1]Legend!$A$71, [1]Legend!$B$71, IF(J4=[1]Legend!$A$72, [1]Legend!$B$72, (IF(J4=[1]Legend!$A$73, [1]Legend!$B$73, IF(J4=[1]Legend!$A$74, [1]Legend!$B$74, "")))))))))))</f>
        <v>9</v>
      </c>
      <c r="L4" s="5">
        <v>9</v>
      </c>
      <c r="M4" s="5"/>
      <c r="N4" s="5"/>
      <c r="O4" s="5"/>
    </row>
    <row r="5" spans="1:17" ht="14" customHeight="1" x14ac:dyDescent="0.45">
      <c r="A5" s="7">
        <v>45553</v>
      </c>
      <c r="B5" s="5" t="s">
        <v>59</v>
      </c>
      <c r="C5" s="5"/>
      <c r="D5" s="5">
        <v>1</v>
      </c>
      <c r="E5" s="5">
        <v>1</v>
      </c>
      <c r="F5" s="5">
        <v>2</v>
      </c>
      <c r="G5" s="7">
        <v>45587</v>
      </c>
      <c r="H5" s="5" t="s">
        <v>17</v>
      </c>
      <c r="I5" s="5">
        <v>3</v>
      </c>
      <c r="J5" s="5" t="s">
        <v>60</v>
      </c>
      <c r="K5" s="6">
        <f>IF(J5=[1]Legend!$A$66,[1]Legend!$B$66,(IF(J5=[1]Legend!$A$67,[1]Legend!$B$67,IF(J5=[1]Legend!$A$68, [1]Legend!$B$68, IF(J5=[1]Legend!$A$69, [1]Legend!$B$69, IF(J5=[1]Legend!$A$70, [1]Legend!$B$70, IF(J5=[1]Legend!$A$71, [1]Legend!$B$71, IF(J5=[1]Legend!$A$72, [1]Legend!$B$72, (IF(J5=[1]Legend!$A$73, [1]Legend!$B$73, IF(J5=[1]Legend!$A$74, [1]Legend!$B$74, "")))))))))))</f>
        <v>25</v>
      </c>
      <c r="L5" s="5">
        <v>25</v>
      </c>
      <c r="M5" s="5"/>
      <c r="N5" s="5"/>
      <c r="O5" s="5"/>
    </row>
    <row r="6" spans="1:17" ht="14" customHeight="1" x14ac:dyDescent="0.45">
      <c r="A6" s="7">
        <v>45553</v>
      </c>
      <c r="B6" s="5" t="s">
        <v>59</v>
      </c>
      <c r="C6" s="5"/>
      <c r="D6" s="5">
        <v>1</v>
      </c>
      <c r="E6" s="5">
        <v>1</v>
      </c>
      <c r="F6" s="5">
        <v>2</v>
      </c>
      <c r="G6" s="7">
        <v>45587</v>
      </c>
      <c r="H6" s="5" t="s">
        <v>17</v>
      </c>
      <c r="I6" s="5"/>
      <c r="J6" s="5" t="s">
        <v>18</v>
      </c>
      <c r="K6" s="6">
        <f>IF(J6=[1]Legend!$A$66,[1]Legend!$B$66,(IF(J6=[1]Legend!$A$67,[1]Legend!$B$67,IF(J6=[1]Legend!$A$68, [1]Legend!$B$68, IF(J6=[1]Legend!$A$69, [1]Legend!$B$69, IF(J6=[1]Legend!$A$70, [1]Legend!$B$70, IF(J6=[1]Legend!$A$71, [1]Legend!$B$71, IF(J6=[1]Legend!$A$72, [1]Legend!$B$72, (IF(J6=[1]Legend!$A$73, [1]Legend!$B$73, IF(J6=[1]Legend!$A$74, [1]Legend!$B$74, "")))))))))))</f>
        <v>5</v>
      </c>
      <c r="L6" s="5">
        <v>5</v>
      </c>
      <c r="M6" s="5"/>
      <c r="N6" s="5"/>
      <c r="O6" s="5"/>
    </row>
    <row r="7" spans="1:17" ht="14" customHeight="1" x14ac:dyDescent="0.45">
      <c r="A7" s="7">
        <v>45553</v>
      </c>
      <c r="B7" s="5" t="s">
        <v>59</v>
      </c>
      <c r="C7" s="5"/>
      <c r="D7" s="5">
        <v>1</v>
      </c>
      <c r="E7" s="5">
        <v>1</v>
      </c>
      <c r="F7" s="5">
        <v>2</v>
      </c>
      <c r="G7" s="7">
        <v>45587</v>
      </c>
      <c r="H7" s="5" t="s">
        <v>17</v>
      </c>
      <c r="I7" s="5">
        <v>3</v>
      </c>
      <c r="J7" s="5" t="s">
        <v>19</v>
      </c>
      <c r="K7" s="6">
        <f>IF(J7=[1]Legend!$A$66,[1]Legend!$B$66,(IF(J7=[1]Legend!$A$67,[1]Legend!$B$67,IF(J7=[1]Legend!$A$68, [1]Legend!$B$68, IF(J7=[1]Legend!$A$69, [1]Legend!$B$69, IF(J7=[1]Legend!$A$70, [1]Legend!$B$70, IF(J7=[1]Legend!$A$71, [1]Legend!$B$71, IF(J7=[1]Legend!$A$72, [1]Legend!$B$72, (IF(J7=[1]Legend!$A$73, [1]Legend!$B$73, IF(J7=[1]Legend!$A$74, [1]Legend!$B$74, "")))))))))))</f>
        <v>9</v>
      </c>
      <c r="L7" s="5">
        <v>9</v>
      </c>
      <c r="M7" s="5"/>
      <c r="N7" s="5"/>
      <c r="O7" s="5"/>
    </row>
    <row r="8" spans="1:17" ht="14" customHeight="1" x14ac:dyDescent="0.45">
      <c r="A8" s="7">
        <v>45560</v>
      </c>
      <c r="B8" s="5" t="s">
        <v>59</v>
      </c>
      <c r="C8" s="5" t="s">
        <v>16</v>
      </c>
      <c r="D8" s="5">
        <v>2</v>
      </c>
      <c r="E8" s="5">
        <v>1</v>
      </c>
      <c r="F8" s="5">
        <v>1</v>
      </c>
      <c r="G8" s="7">
        <v>45561</v>
      </c>
      <c r="H8" s="5" t="s">
        <v>108</v>
      </c>
      <c r="I8" s="5">
        <v>3</v>
      </c>
      <c r="J8" s="5" t="s">
        <v>60</v>
      </c>
      <c r="K8" s="6">
        <f>IF(J8=[7]Legend!$A$66,[7]Legend!$B$66,(IF(J8=[7]Legend!$A$67,[7]Legend!$B$67,IF(J8=[7]Legend!$A$68, [7]Legend!$B$68, IF(J8=[7]Legend!$A$69, [7]Legend!$B$69, IF(J8=[7]Legend!$A$70, [7]Legend!$B$70, IF(J8=[7]Legend!$A$71, [7]Legend!$B$71, IF(J8=[7]Legend!$A$72, [7]Legend!$B$72, (IF(J8=[7]Legend!$A$73, [7]Legend!$B$73, IF(J8=[7]Legend!$A$74, [7]Legend!$B$74, "")))))))))))</f>
        <v>25</v>
      </c>
      <c r="L8" s="5">
        <v>25</v>
      </c>
      <c r="M8" s="5"/>
      <c r="N8" s="5"/>
      <c r="O8" s="5" t="s">
        <v>116</v>
      </c>
    </row>
    <row r="9" spans="1:17" ht="14" customHeight="1" x14ac:dyDescent="0.45">
      <c r="A9" s="7">
        <v>45560</v>
      </c>
      <c r="B9" s="5" t="s">
        <v>59</v>
      </c>
      <c r="C9" s="5" t="s">
        <v>16</v>
      </c>
      <c r="D9" s="5">
        <v>2</v>
      </c>
      <c r="E9" s="5">
        <v>1</v>
      </c>
      <c r="F9" s="5">
        <v>1</v>
      </c>
      <c r="G9" s="7">
        <v>45561</v>
      </c>
      <c r="H9" s="5" t="s">
        <v>108</v>
      </c>
      <c r="I9" s="5">
        <v>3</v>
      </c>
      <c r="J9" s="5" t="s">
        <v>18</v>
      </c>
      <c r="K9" s="6">
        <f>IF(J9=[7]Legend!$A$66,[7]Legend!$B$66,(IF(J9=[7]Legend!$A$67,[7]Legend!$B$67,IF(J9=[7]Legend!$A$68, [7]Legend!$B$68, IF(J9=[7]Legend!$A$69, [7]Legend!$B$69, IF(J9=[7]Legend!$A$70, [7]Legend!$B$70, IF(J9=[7]Legend!$A$71, [7]Legend!$B$71, IF(J9=[7]Legend!$A$72, [7]Legend!$B$72, (IF(J9=[7]Legend!$A$73, [7]Legend!$B$73, IF(J9=[7]Legend!$A$74, [7]Legend!$B$74, "")))))))))))</f>
        <v>5</v>
      </c>
      <c r="L9" s="5">
        <v>5</v>
      </c>
      <c r="M9" s="5"/>
      <c r="N9" s="5"/>
      <c r="O9" s="5"/>
    </row>
    <row r="10" spans="1:17" ht="14" customHeight="1" x14ac:dyDescent="0.45">
      <c r="A10" s="7">
        <v>45560</v>
      </c>
      <c r="B10" s="5" t="s">
        <v>59</v>
      </c>
      <c r="C10" s="5" t="s">
        <v>16</v>
      </c>
      <c r="D10" s="5">
        <v>2</v>
      </c>
      <c r="E10" s="5">
        <v>1</v>
      </c>
      <c r="F10" s="5">
        <v>1</v>
      </c>
      <c r="G10" s="7">
        <v>45561</v>
      </c>
      <c r="H10" s="5" t="s">
        <v>108</v>
      </c>
      <c r="I10" s="5">
        <v>3</v>
      </c>
      <c r="J10" s="5" t="s">
        <v>19</v>
      </c>
      <c r="K10" s="6">
        <f>IF(J10=[7]Legend!$A$66,[7]Legend!$B$66,(IF(J10=[7]Legend!$A$67,[7]Legend!$B$67,IF(J10=[7]Legend!$A$68, [7]Legend!$B$68, IF(J10=[7]Legend!$A$69, [7]Legend!$B$69, IF(J10=[7]Legend!$A$70, [7]Legend!$B$70, IF(J10=[7]Legend!$A$71, [7]Legend!$B$71, IF(J10=[7]Legend!$A$72, [7]Legend!$B$72, (IF(J10=[7]Legend!$A$73, [7]Legend!$B$73, IF(J10=[7]Legend!$A$74, [7]Legend!$B$74, "")))))))))))</f>
        <v>9</v>
      </c>
      <c r="L10" s="5">
        <v>9</v>
      </c>
      <c r="M10" s="5"/>
      <c r="N10" s="5"/>
      <c r="O10" s="5"/>
    </row>
    <row r="11" spans="1:17" ht="14" customHeight="1" x14ac:dyDescent="0.45">
      <c r="A11" s="7">
        <v>45560</v>
      </c>
      <c r="B11" s="5" t="s">
        <v>59</v>
      </c>
      <c r="C11" s="5" t="s">
        <v>16</v>
      </c>
      <c r="D11" s="5">
        <v>2</v>
      </c>
      <c r="E11" s="5">
        <v>1</v>
      </c>
      <c r="F11" s="5">
        <v>2</v>
      </c>
      <c r="G11" s="7">
        <v>45561</v>
      </c>
      <c r="H11" s="5" t="s">
        <v>108</v>
      </c>
      <c r="I11" s="5">
        <v>3</v>
      </c>
      <c r="J11" s="5" t="s">
        <v>60</v>
      </c>
      <c r="K11" s="6">
        <f>IF(J11=[7]Legend!$A$66,[7]Legend!$B$66,(IF(J11=[7]Legend!$A$67,[7]Legend!$B$67,IF(J11=[7]Legend!$A$68, [7]Legend!$B$68, IF(J11=[7]Legend!$A$69, [7]Legend!$B$69, IF(J11=[7]Legend!$A$70, [7]Legend!$B$70, IF(J11=[7]Legend!$A$71, [7]Legend!$B$71, IF(J11=[7]Legend!$A$72, [7]Legend!$B$72, (IF(J11=[7]Legend!$A$73, [7]Legend!$B$73, IF(J11=[7]Legend!$A$74, [7]Legend!$B$74, "")))))))))))</f>
        <v>25</v>
      </c>
      <c r="L11" s="5">
        <v>25</v>
      </c>
      <c r="M11" s="5"/>
      <c r="N11" s="5"/>
      <c r="O11" s="5"/>
    </row>
    <row r="12" spans="1:17" ht="14" customHeight="1" x14ac:dyDescent="0.45">
      <c r="A12" s="7">
        <v>45560</v>
      </c>
      <c r="B12" s="5" t="s">
        <v>59</v>
      </c>
      <c r="C12" s="5" t="s">
        <v>16</v>
      </c>
      <c r="D12" s="5">
        <v>2</v>
      </c>
      <c r="E12" s="5">
        <v>1</v>
      </c>
      <c r="F12" s="5">
        <v>2</v>
      </c>
      <c r="G12" s="7">
        <v>45561</v>
      </c>
      <c r="H12" s="5" t="s">
        <v>108</v>
      </c>
      <c r="I12" s="5">
        <v>3</v>
      </c>
      <c r="J12" s="5" t="s">
        <v>18</v>
      </c>
      <c r="K12" s="6">
        <f>IF(J12=[7]Legend!$A$66,[7]Legend!$B$66,(IF(J12=[7]Legend!$A$67,[7]Legend!$B$67,IF(J12=[7]Legend!$A$68, [7]Legend!$B$68, IF(J12=[7]Legend!$A$69, [7]Legend!$B$69, IF(J12=[7]Legend!$A$70, [7]Legend!$B$70, IF(J12=[7]Legend!$A$71, [7]Legend!$B$71, IF(J12=[7]Legend!$A$72, [7]Legend!$B$72, (IF(J12=[7]Legend!$A$73, [7]Legend!$B$73, IF(J12=[7]Legend!$A$74, [7]Legend!$B$74, "")))))))))))</f>
        <v>5</v>
      </c>
      <c r="L12" s="5">
        <v>5</v>
      </c>
      <c r="M12" s="5"/>
      <c r="N12" s="5"/>
      <c r="O12" s="5"/>
    </row>
    <row r="13" spans="1:17" ht="14" customHeight="1" x14ac:dyDescent="0.45">
      <c r="A13" s="7">
        <v>45560</v>
      </c>
      <c r="B13" s="5" t="s">
        <v>59</v>
      </c>
      <c r="C13" s="5" t="s">
        <v>16</v>
      </c>
      <c r="D13" s="5">
        <v>2</v>
      </c>
      <c r="E13" s="5">
        <v>1</v>
      </c>
      <c r="F13" s="5">
        <v>2</v>
      </c>
      <c r="G13" s="7">
        <v>45561</v>
      </c>
      <c r="H13" s="5" t="s">
        <v>108</v>
      </c>
      <c r="I13" s="5">
        <v>3</v>
      </c>
      <c r="J13" s="5" t="s">
        <v>19</v>
      </c>
      <c r="K13" s="6">
        <f>IF(J13=[7]Legend!$A$66,[7]Legend!$B$66,(IF(J13=[7]Legend!$A$67,[7]Legend!$B$67,IF(J13=[7]Legend!$A$68, [7]Legend!$B$68, IF(J13=[7]Legend!$A$69, [7]Legend!$B$69, IF(J13=[7]Legend!$A$70, [7]Legend!$B$70, IF(J13=[7]Legend!$A$71, [7]Legend!$B$71, IF(J13=[7]Legend!$A$72, [7]Legend!$B$72, (IF(J13=[7]Legend!$A$73, [7]Legend!$B$73, IF(J13=[7]Legend!$A$74, [7]Legend!$B$74, "")))))))))))</f>
        <v>9</v>
      </c>
      <c r="L13" s="5">
        <v>9</v>
      </c>
      <c r="M13" s="5">
        <v>1</v>
      </c>
      <c r="N13" s="5" t="s">
        <v>21</v>
      </c>
      <c r="O13" s="5"/>
    </row>
    <row r="14" spans="1:17" ht="14" customHeight="1" x14ac:dyDescent="0.45">
      <c r="A14" s="7">
        <v>45567</v>
      </c>
      <c r="B14" s="5" t="s">
        <v>59</v>
      </c>
      <c r="C14" s="5" t="s">
        <v>132</v>
      </c>
      <c r="D14" s="5">
        <v>3</v>
      </c>
      <c r="E14" s="5">
        <v>1</v>
      </c>
      <c r="F14" s="5">
        <v>2</v>
      </c>
      <c r="G14" s="7">
        <v>45719</v>
      </c>
      <c r="H14" s="5" t="s">
        <v>91</v>
      </c>
      <c r="I14" s="5">
        <v>3</v>
      </c>
      <c r="J14" s="5" t="s">
        <v>60</v>
      </c>
      <c r="K14" s="6">
        <f>IF(J14=[14]Legend!$A$67,[14]Legend!$B$67,(IF(J14=[14]Legend!$A$68,[14]Legend!$B$68,IF(J14=[14]Legend!$A$69, [14]Legend!$B$69, IF(J14=[14]Legend!$A$70, [14]Legend!$B$70, IF(J14=[14]Legend!$A$71, [14]Legend!$B$71, IF(J14=[14]Legend!$A$72, [14]Legend!$B$72, IF(J14=[14]Legend!$A$73, [14]Legend!$B$73, (IF(J14=[14]Legend!$A$74, [14]Legend!$B$74, IF(J14=[14]Legend!$A$75, [14]Legend!$B$75, "")))))))))))</f>
        <v>25</v>
      </c>
      <c r="L14" s="5">
        <v>24</v>
      </c>
      <c r="M14" s="5">
        <v>0</v>
      </c>
      <c r="N14" s="5"/>
      <c r="O14" s="5"/>
    </row>
    <row r="15" spans="1:17" ht="14" customHeight="1" x14ac:dyDescent="0.45">
      <c r="A15" s="7">
        <v>45567</v>
      </c>
      <c r="B15" s="5" t="s">
        <v>59</v>
      </c>
      <c r="C15" s="5" t="s">
        <v>132</v>
      </c>
      <c r="D15" s="5">
        <v>3</v>
      </c>
      <c r="E15" s="5">
        <v>1</v>
      </c>
      <c r="F15" s="5">
        <v>2</v>
      </c>
      <c r="G15" s="7">
        <v>45719</v>
      </c>
      <c r="H15" s="5" t="s">
        <v>91</v>
      </c>
      <c r="I15" s="5">
        <v>3</v>
      </c>
      <c r="J15" s="5" t="s">
        <v>18</v>
      </c>
      <c r="K15" s="6">
        <f>IF(J15=[14]Legend!$A$67,[14]Legend!$B$67,(IF(J15=[14]Legend!$A$68,[14]Legend!$B$68,IF(J15=[14]Legend!$A$69, [14]Legend!$B$69, IF(J15=[14]Legend!$A$70, [14]Legend!$B$70, IF(J15=[14]Legend!$A$71, [14]Legend!$B$71, IF(J15=[14]Legend!$A$72, [14]Legend!$B$72, IF(J15=[14]Legend!$A$73, [14]Legend!$B$73, (IF(J15=[14]Legend!$A$74, [14]Legend!$B$74, IF(J15=[14]Legend!$A$75, [14]Legend!$B$75, "")))))))))))</f>
        <v>5</v>
      </c>
      <c r="L15" s="5">
        <v>5</v>
      </c>
      <c r="M15" s="5">
        <v>0</v>
      </c>
      <c r="N15" s="5"/>
      <c r="O15" s="5"/>
    </row>
    <row r="16" spans="1:17" ht="14" customHeight="1" x14ac:dyDescent="0.45">
      <c r="A16" s="7">
        <v>45567</v>
      </c>
      <c r="B16" s="5" t="s">
        <v>59</v>
      </c>
      <c r="C16" s="5" t="s">
        <v>132</v>
      </c>
      <c r="D16" s="5">
        <v>3</v>
      </c>
      <c r="E16" s="5">
        <v>1</v>
      </c>
      <c r="F16" s="5">
        <v>2</v>
      </c>
      <c r="G16" s="7">
        <v>45719</v>
      </c>
      <c r="H16" s="5" t="s">
        <v>91</v>
      </c>
      <c r="I16" s="5">
        <v>3</v>
      </c>
      <c r="J16" s="5" t="s">
        <v>19</v>
      </c>
      <c r="K16" s="6">
        <f>IF(J16=[14]Legend!$A$67,[14]Legend!$B$67,(IF(J16=[14]Legend!$A$68,[14]Legend!$B$68,IF(J16=[14]Legend!$A$69, [14]Legend!$B$69, IF(J16=[14]Legend!$A$70, [14]Legend!$B$70, IF(J16=[14]Legend!$A$71, [14]Legend!$B$71, IF(J16=[14]Legend!$A$72, [14]Legend!$B$72, IF(J16=[14]Legend!$A$73, [14]Legend!$B$73, (IF(J16=[14]Legend!$A$74, [14]Legend!$B$74, IF(J16=[14]Legend!$A$75, [14]Legend!$B$75, "")))))))))))</f>
        <v>9</v>
      </c>
      <c r="L16" s="5">
        <v>9</v>
      </c>
      <c r="M16" s="5">
        <v>0</v>
      </c>
      <c r="N16" s="5"/>
      <c r="O16" s="5"/>
    </row>
    <row r="17" spans="1:15" ht="14" customHeight="1" x14ac:dyDescent="0.45">
      <c r="A17" s="7">
        <v>45567</v>
      </c>
      <c r="B17" s="5" t="s">
        <v>59</v>
      </c>
      <c r="C17" s="5" t="s">
        <v>132</v>
      </c>
      <c r="D17" s="5">
        <v>3</v>
      </c>
      <c r="E17" s="5">
        <v>1</v>
      </c>
      <c r="F17" s="5">
        <v>1</v>
      </c>
      <c r="G17" s="7">
        <v>45719</v>
      </c>
      <c r="H17" s="5" t="s">
        <v>91</v>
      </c>
      <c r="I17" s="5">
        <v>3</v>
      </c>
      <c r="J17" s="5" t="s">
        <v>60</v>
      </c>
      <c r="K17" s="6">
        <f>IF(J17=[14]Legend!$A$67,[14]Legend!$B$67,(IF(J17=[14]Legend!$A$68,[14]Legend!$B$68,IF(J17=[14]Legend!$A$69, [14]Legend!$B$69, IF(J17=[14]Legend!$A$70, [14]Legend!$B$70, IF(J17=[14]Legend!$A$71, [14]Legend!$B$71, IF(J17=[14]Legend!$A$72, [14]Legend!$B$72, IF(J17=[14]Legend!$A$73, [14]Legend!$B$73, (IF(J17=[14]Legend!$A$74, [14]Legend!$B$74, IF(J17=[14]Legend!$A$75, [14]Legend!$B$75, "")))))))))))</f>
        <v>25</v>
      </c>
      <c r="L17" s="5">
        <v>25</v>
      </c>
      <c r="M17" s="5">
        <v>1</v>
      </c>
      <c r="N17" s="5" t="s">
        <v>30</v>
      </c>
      <c r="O17" s="5"/>
    </row>
    <row r="18" spans="1:15" ht="14" customHeight="1" x14ac:dyDescent="0.45">
      <c r="A18" s="7">
        <v>45567</v>
      </c>
      <c r="B18" s="5" t="s">
        <v>59</v>
      </c>
      <c r="C18" s="5" t="s">
        <v>132</v>
      </c>
      <c r="D18" s="5">
        <v>3</v>
      </c>
      <c r="E18" s="5">
        <v>1</v>
      </c>
      <c r="F18" s="5">
        <v>1</v>
      </c>
      <c r="G18" s="7">
        <v>45719</v>
      </c>
      <c r="H18" s="5" t="s">
        <v>91</v>
      </c>
      <c r="I18" s="5">
        <v>3</v>
      </c>
      <c r="J18" s="5" t="s">
        <v>18</v>
      </c>
      <c r="K18" s="6">
        <f>IF(J18=[14]Legend!$A$67,[14]Legend!$B$67,(IF(J18=[14]Legend!$A$68,[14]Legend!$B$68,IF(J18=[14]Legend!$A$69, [14]Legend!$B$69, IF(J18=[14]Legend!$A$70, [14]Legend!$B$70, IF(J18=[14]Legend!$A$71, [14]Legend!$B$71, IF(J18=[14]Legend!$A$72, [14]Legend!$B$72, IF(J18=[14]Legend!$A$73, [14]Legend!$B$73, (IF(J18=[14]Legend!$A$74, [14]Legend!$B$74, IF(J18=[14]Legend!$A$75, [14]Legend!$B$75, "")))))))))))</f>
        <v>5</v>
      </c>
      <c r="L18" s="5">
        <v>5</v>
      </c>
      <c r="M18" s="5">
        <v>0</v>
      </c>
      <c r="N18" s="5"/>
      <c r="O18" s="5"/>
    </row>
    <row r="19" spans="1:15" ht="14" customHeight="1" x14ac:dyDescent="0.45">
      <c r="A19" s="7">
        <v>45567</v>
      </c>
      <c r="B19" s="5" t="s">
        <v>59</v>
      </c>
      <c r="C19" s="5" t="s">
        <v>132</v>
      </c>
      <c r="D19" s="5">
        <v>3</v>
      </c>
      <c r="E19" s="5">
        <v>1</v>
      </c>
      <c r="F19" s="5">
        <v>1</v>
      </c>
      <c r="G19" s="7">
        <v>45719</v>
      </c>
      <c r="H19" s="5" t="s">
        <v>91</v>
      </c>
      <c r="I19" s="5">
        <v>3</v>
      </c>
      <c r="J19" s="5" t="s">
        <v>19</v>
      </c>
      <c r="K19" s="6">
        <f>IF(J19=[14]Legend!$A$67,[14]Legend!$B$67,(IF(J19=[14]Legend!$A$68,[14]Legend!$B$68,IF(J19=[14]Legend!$A$69, [14]Legend!$B$69, IF(J19=[14]Legend!$A$70, [14]Legend!$B$70, IF(J19=[14]Legend!$A$71, [14]Legend!$B$71, IF(J19=[14]Legend!$A$72, [14]Legend!$B$72, IF(J19=[14]Legend!$A$73, [14]Legend!$B$73, (IF(J19=[14]Legend!$A$74, [14]Legend!$B$74, IF(J19=[14]Legend!$A$75, [14]Legend!$B$75, "")))))))))))</f>
        <v>9</v>
      </c>
      <c r="L19" s="5">
        <v>9</v>
      </c>
      <c r="M19" s="5">
        <v>0</v>
      </c>
      <c r="N19" s="5"/>
      <c r="O19" s="5"/>
    </row>
    <row r="20" spans="1:15" ht="14" customHeight="1" x14ac:dyDescent="0.45">
      <c r="A20" s="7">
        <v>45553</v>
      </c>
      <c r="B20" s="5" t="s">
        <v>59</v>
      </c>
      <c r="C20" s="5"/>
      <c r="D20" s="5">
        <v>1</v>
      </c>
      <c r="E20" s="5">
        <v>2</v>
      </c>
      <c r="F20" s="5">
        <v>1</v>
      </c>
      <c r="G20" s="7">
        <v>45587</v>
      </c>
      <c r="H20" s="5" t="s">
        <v>17</v>
      </c>
      <c r="I20" s="5">
        <v>3</v>
      </c>
      <c r="J20" s="5" t="s">
        <v>60</v>
      </c>
      <c r="K20" s="6">
        <f>IF(J20=[1]Legend!$A$66,[1]Legend!$B$66,(IF(J20=[1]Legend!$A$67,[1]Legend!$B$67,IF(J20=[1]Legend!$A$68, [1]Legend!$B$68, IF(J20=[1]Legend!$A$69, [1]Legend!$B$69, IF(J20=[1]Legend!$A$70, [1]Legend!$B$70, IF(J20=[1]Legend!$A$71, [1]Legend!$B$71, IF(J20=[1]Legend!$A$72, [1]Legend!$B$72, (IF(J20=[1]Legend!$A$73, [1]Legend!$B$73, IF(J20=[1]Legend!$A$74, [1]Legend!$B$74, "")))))))))))</f>
        <v>25</v>
      </c>
      <c r="L20" s="5">
        <v>25</v>
      </c>
      <c r="M20" s="5"/>
      <c r="N20" s="5"/>
      <c r="O20" s="5"/>
    </row>
    <row r="21" spans="1:15" ht="14" customHeight="1" x14ac:dyDescent="0.45">
      <c r="A21" s="7">
        <v>45553</v>
      </c>
      <c r="B21" s="5" t="s">
        <v>59</v>
      </c>
      <c r="C21" s="5"/>
      <c r="D21" s="5">
        <v>1</v>
      </c>
      <c r="E21" s="5">
        <v>2</v>
      </c>
      <c r="F21" s="5">
        <v>1</v>
      </c>
      <c r="G21" s="7">
        <v>45587</v>
      </c>
      <c r="H21" s="5" t="s">
        <v>17</v>
      </c>
      <c r="I21" s="5">
        <v>3</v>
      </c>
      <c r="J21" s="5" t="s">
        <v>18</v>
      </c>
      <c r="K21" s="6">
        <f>IF(J21=[1]Legend!$A$66,[1]Legend!$B$66,(IF(J21=[1]Legend!$A$67,[1]Legend!$B$67,IF(J21=[1]Legend!$A$68, [1]Legend!$B$68, IF(J21=[1]Legend!$A$69, [1]Legend!$B$69, IF(J21=[1]Legend!$A$70, [1]Legend!$B$70, IF(J21=[1]Legend!$A$71, [1]Legend!$B$71, IF(J21=[1]Legend!$A$72, [1]Legend!$B$72, (IF(J21=[1]Legend!$A$73, [1]Legend!$B$73, IF(J21=[1]Legend!$A$74, [1]Legend!$B$74, "")))))))))))</f>
        <v>5</v>
      </c>
      <c r="L21" s="5">
        <v>5</v>
      </c>
      <c r="M21" s="5"/>
      <c r="N21" s="5"/>
      <c r="O21" s="5"/>
    </row>
    <row r="22" spans="1:15" ht="14" customHeight="1" x14ac:dyDescent="0.45">
      <c r="A22" s="7">
        <v>45553</v>
      </c>
      <c r="B22" s="5" t="s">
        <v>59</v>
      </c>
      <c r="C22" s="5"/>
      <c r="D22" s="5">
        <v>1</v>
      </c>
      <c r="E22" s="5">
        <v>2</v>
      </c>
      <c r="F22" s="5">
        <v>1</v>
      </c>
      <c r="G22" s="7">
        <v>45587</v>
      </c>
      <c r="H22" s="5" t="s">
        <v>17</v>
      </c>
      <c r="I22" s="5">
        <v>3</v>
      </c>
      <c r="J22" s="5" t="s">
        <v>19</v>
      </c>
      <c r="K22" s="6">
        <f>IF(J22=[1]Legend!$A$66,[1]Legend!$B$66,(IF(J22=[1]Legend!$A$67,[1]Legend!$B$67,IF(J22=[1]Legend!$A$68, [1]Legend!$B$68, IF(J22=[1]Legend!$A$69, [1]Legend!$B$69, IF(J22=[1]Legend!$A$70, [1]Legend!$B$70, IF(J22=[1]Legend!$A$71, [1]Legend!$B$71, IF(J22=[1]Legend!$A$72, [1]Legend!$B$72, (IF(J22=[1]Legend!$A$73, [1]Legend!$B$73, IF(J22=[1]Legend!$A$74, [1]Legend!$B$74, "")))))))))))</f>
        <v>9</v>
      </c>
      <c r="L22" s="5">
        <v>9</v>
      </c>
      <c r="M22" s="5"/>
      <c r="N22" s="5"/>
      <c r="O22" s="5"/>
    </row>
    <row r="23" spans="1:15" ht="14" customHeight="1" x14ac:dyDescent="0.45">
      <c r="A23" s="7">
        <v>45553</v>
      </c>
      <c r="B23" s="5" t="s">
        <v>59</v>
      </c>
      <c r="C23" s="5"/>
      <c r="D23" s="5">
        <v>1</v>
      </c>
      <c r="E23" s="5">
        <v>2</v>
      </c>
      <c r="F23" s="5">
        <v>2</v>
      </c>
      <c r="G23" s="7">
        <v>45587</v>
      </c>
      <c r="H23" s="5" t="s">
        <v>17</v>
      </c>
      <c r="I23" s="5">
        <v>3</v>
      </c>
      <c r="J23" s="5" t="s">
        <v>60</v>
      </c>
      <c r="K23" s="6">
        <f>IF(J23=[1]Legend!$A$66,[1]Legend!$B$66,(IF(J23=[1]Legend!$A$67,[1]Legend!$B$67,IF(J23=[1]Legend!$A$68, [1]Legend!$B$68, IF(J23=[1]Legend!$A$69, [1]Legend!$B$69, IF(J23=[1]Legend!$A$70, [1]Legend!$B$70, IF(J23=[1]Legend!$A$71, [1]Legend!$B$71, IF(J23=[1]Legend!$A$72, [1]Legend!$B$72, (IF(J23=[1]Legend!$A$73, [1]Legend!$B$73, IF(J23=[1]Legend!$A$74, [1]Legend!$B$74, "")))))))))))</f>
        <v>25</v>
      </c>
      <c r="L23" s="5">
        <v>25</v>
      </c>
      <c r="M23" s="5"/>
      <c r="N23" s="5"/>
      <c r="O23" s="5"/>
    </row>
    <row r="24" spans="1:15" ht="14" customHeight="1" x14ac:dyDescent="0.45">
      <c r="A24" s="7">
        <v>45553</v>
      </c>
      <c r="B24" s="5" t="s">
        <v>59</v>
      </c>
      <c r="C24" s="5"/>
      <c r="D24" s="5">
        <v>1</v>
      </c>
      <c r="E24" s="5">
        <v>2</v>
      </c>
      <c r="F24" s="5">
        <v>2</v>
      </c>
      <c r="G24" s="7">
        <v>45587</v>
      </c>
      <c r="H24" s="5" t="s">
        <v>17</v>
      </c>
      <c r="I24" s="5">
        <v>3</v>
      </c>
      <c r="J24" s="5" t="s">
        <v>18</v>
      </c>
      <c r="K24" s="6">
        <f>IF(J24=[1]Legend!$A$66,[1]Legend!$B$66,(IF(J24=[1]Legend!$A$67,[1]Legend!$B$67,IF(J24=[1]Legend!$A$68, [1]Legend!$B$68, IF(J24=[1]Legend!$A$69, [1]Legend!$B$69, IF(J24=[1]Legend!$A$70, [1]Legend!$B$70, IF(J24=[1]Legend!$A$71, [1]Legend!$B$71, IF(J24=[1]Legend!$A$72, [1]Legend!$B$72, (IF(J24=[1]Legend!$A$73, [1]Legend!$B$73, IF(J24=[1]Legend!$A$74, [1]Legend!$B$74, "")))))))))))</f>
        <v>5</v>
      </c>
      <c r="L24" s="5">
        <v>5</v>
      </c>
      <c r="M24" s="5"/>
      <c r="N24" s="5"/>
      <c r="O24" s="5"/>
    </row>
    <row r="25" spans="1:15" ht="14" customHeight="1" x14ac:dyDescent="0.45">
      <c r="A25" s="7">
        <v>45553</v>
      </c>
      <c r="B25" s="5" t="s">
        <v>59</v>
      </c>
      <c r="C25" s="5"/>
      <c r="D25" s="5">
        <v>1</v>
      </c>
      <c r="E25" s="5">
        <v>2</v>
      </c>
      <c r="F25" s="5">
        <v>2</v>
      </c>
      <c r="G25" s="7">
        <v>45587</v>
      </c>
      <c r="H25" s="5" t="s">
        <v>17</v>
      </c>
      <c r="I25" s="5">
        <v>3</v>
      </c>
      <c r="J25" s="5" t="s">
        <v>19</v>
      </c>
      <c r="K25" s="6">
        <f>IF(J25=[1]Legend!$A$66,[1]Legend!$B$66,(IF(J25=[1]Legend!$A$67,[1]Legend!$B$67,IF(J25=[1]Legend!$A$68, [1]Legend!$B$68, IF(J25=[1]Legend!$A$69, [1]Legend!$B$69, IF(J25=[1]Legend!$A$70, [1]Legend!$B$70, IF(J25=[1]Legend!$A$71, [1]Legend!$B$71, IF(J25=[1]Legend!$A$72, [1]Legend!$B$72, (IF(J25=[1]Legend!$A$73, [1]Legend!$B$73, IF(J25=[1]Legend!$A$74, [1]Legend!$B$74, "")))))))))))</f>
        <v>9</v>
      </c>
      <c r="L25" s="5">
        <v>9</v>
      </c>
      <c r="M25" s="5"/>
      <c r="N25" s="5"/>
      <c r="O25" s="5"/>
    </row>
    <row r="26" spans="1:15" ht="14" customHeight="1" x14ac:dyDescent="0.45">
      <c r="A26" s="7">
        <v>45560</v>
      </c>
      <c r="B26" s="5" t="s">
        <v>59</v>
      </c>
      <c r="C26" s="5" t="s">
        <v>16</v>
      </c>
      <c r="D26" s="5">
        <v>2</v>
      </c>
      <c r="E26" s="5">
        <v>2</v>
      </c>
      <c r="F26" s="5">
        <v>1</v>
      </c>
      <c r="G26" s="7">
        <v>45561</v>
      </c>
      <c r="H26" s="5" t="s">
        <v>108</v>
      </c>
      <c r="I26" s="5">
        <v>3</v>
      </c>
      <c r="J26" s="5" t="s">
        <v>60</v>
      </c>
      <c r="K26" s="6">
        <f>IF(J26=[7]Legend!$A$66,[7]Legend!$B$66,(IF(J26=[7]Legend!$A$67,[7]Legend!$B$67,IF(J26=[7]Legend!$A$68, [7]Legend!$B$68, IF(J26=[7]Legend!$A$69, [7]Legend!$B$69, IF(J26=[7]Legend!$A$70, [7]Legend!$B$70, IF(J26=[7]Legend!$A$71, [7]Legend!$B$71, IF(J26=[7]Legend!$A$72, [7]Legend!$B$72, (IF(J26=[7]Legend!$A$73, [7]Legend!$B$73, IF(J26=[7]Legend!$A$74, [7]Legend!$B$74, "")))))))))))</f>
        <v>25</v>
      </c>
      <c r="L26" s="5">
        <v>25</v>
      </c>
      <c r="M26" s="5"/>
      <c r="N26" s="5"/>
      <c r="O26" s="5"/>
    </row>
    <row r="27" spans="1:15" ht="14" customHeight="1" x14ac:dyDescent="0.45">
      <c r="A27" s="7">
        <v>45560</v>
      </c>
      <c r="B27" s="5" t="s">
        <v>59</v>
      </c>
      <c r="C27" s="5" t="s">
        <v>16</v>
      </c>
      <c r="D27" s="5">
        <v>2</v>
      </c>
      <c r="E27" s="5">
        <v>2</v>
      </c>
      <c r="F27" s="5">
        <v>1</v>
      </c>
      <c r="G27" s="7">
        <v>45561</v>
      </c>
      <c r="H27" s="5" t="s">
        <v>108</v>
      </c>
      <c r="I27" s="5">
        <v>3</v>
      </c>
      <c r="J27" s="5" t="s">
        <v>18</v>
      </c>
      <c r="K27" s="6">
        <f>IF(J27=[7]Legend!$A$66,[7]Legend!$B$66,(IF(J27=[7]Legend!$A$67,[7]Legend!$B$67,IF(J27=[7]Legend!$A$68, [7]Legend!$B$68, IF(J27=[7]Legend!$A$69, [7]Legend!$B$69, IF(J27=[7]Legend!$A$70, [7]Legend!$B$70, IF(J27=[7]Legend!$A$71, [7]Legend!$B$71, IF(J27=[7]Legend!$A$72, [7]Legend!$B$72, (IF(J27=[7]Legend!$A$73, [7]Legend!$B$73, IF(J27=[7]Legend!$A$74, [7]Legend!$B$74, "")))))))))))</f>
        <v>5</v>
      </c>
      <c r="L27" s="5">
        <v>5</v>
      </c>
      <c r="M27" s="5"/>
      <c r="N27" s="5"/>
      <c r="O27" s="5"/>
    </row>
    <row r="28" spans="1:15" ht="14" customHeight="1" x14ac:dyDescent="0.45">
      <c r="A28" s="7">
        <v>45560</v>
      </c>
      <c r="B28" s="5" t="s">
        <v>59</v>
      </c>
      <c r="C28" s="5" t="s">
        <v>16</v>
      </c>
      <c r="D28" s="5">
        <v>2</v>
      </c>
      <c r="E28" s="5">
        <v>2</v>
      </c>
      <c r="F28" s="5">
        <v>1</v>
      </c>
      <c r="G28" s="7">
        <v>45561</v>
      </c>
      <c r="H28" s="5" t="s">
        <v>108</v>
      </c>
      <c r="I28" s="5">
        <v>3</v>
      </c>
      <c r="J28" s="5" t="s">
        <v>19</v>
      </c>
      <c r="K28" s="6">
        <f>IF(J28=[7]Legend!$A$66,[7]Legend!$B$66,(IF(J28=[7]Legend!$A$67,[7]Legend!$B$67,IF(J28=[7]Legend!$A$68, [7]Legend!$B$68, IF(J28=[7]Legend!$A$69, [7]Legend!$B$69, IF(J28=[7]Legend!$A$70, [7]Legend!$B$70, IF(J28=[7]Legend!$A$71, [7]Legend!$B$71, IF(J28=[7]Legend!$A$72, [7]Legend!$B$72, (IF(J28=[7]Legend!$A$73, [7]Legend!$B$73, IF(J28=[7]Legend!$A$74, [7]Legend!$B$74, "")))))))))))</f>
        <v>9</v>
      </c>
      <c r="L28" s="5">
        <v>9</v>
      </c>
      <c r="M28" s="5"/>
      <c r="N28" s="5"/>
      <c r="O28" s="5"/>
    </row>
    <row r="29" spans="1:15" ht="14" customHeight="1" x14ac:dyDescent="0.45">
      <c r="A29" s="7">
        <v>45560</v>
      </c>
      <c r="B29" s="5" t="s">
        <v>59</v>
      </c>
      <c r="C29" s="5" t="s">
        <v>16</v>
      </c>
      <c r="D29" s="5">
        <v>2</v>
      </c>
      <c r="E29" s="5">
        <v>2</v>
      </c>
      <c r="F29" s="5">
        <v>2</v>
      </c>
      <c r="G29" s="7">
        <v>45561</v>
      </c>
      <c r="H29" s="5" t="s">
        <v>108</v>
      </c>
      <c r="I29" s="5">
        <v>3</v>
      </c>
      <c r="J29" s="5" t="s">
        <v>60</v>
      </c>
      <c r="K29" s="6">
        <f>IF(J29=[7]Legend!$A$66,[7]Legend!$B$66,(IF(J29=[7]Legend!$A$67,[7]Legend!$B$67,IF(J29=[7]Legend!$A$68, [7]Legend!$B$68, IF(J29=[7]Legend!$A$69, [7]Legend!$B$69, IF(J29=[7]Legend!$A$70, [7]Legend!$B$70, IF(J29=[7]Legend!$A$71, [7]Legend!$B$71, IF(J29=[7]Legend!$A$72, [7]Legend!$B$72, (IF(J29=[7]Legend!$A$73, [7]Legend!$B$73, IF(J29=[7]Legend!$A$74, [7]Legend!$B$74, "")))))))))))</f>
        <v>25</v>
      </c>
      <c r="L29" s="5">
        <v>25</v>
      </c>
      <c r="M29" s="5"/>
      <c r="N29" s="5"/>
      <c r="O29" s="5"/>
    </row>
    <row r="30" spans="1:15" ht="14" customHeight="1" x14ac:dyDescent="0.45">
      <c r="A30" s="7">
        <v>45560</v>
      </c>
      <c r="B30" s="5" t="s">
        <v>59</v>
      </c>
      <c r="C30" s="5" t="s">
        <v>16</v>
      </c>
      <c r="D30" s="5">
        <v>2</v>
      </c>
      <c r="E30" s="5">
        <v>2</v>
      </c>
      <c r="F30" s="5">
        <v>2</v>
      </c>
      <c r="G30" s="7">
        <v>45561</v>
      </c>
      <c r="H30" s="5" t="s">
        <v>108</v>
      </c>
      <c r="I30" s="5">
        <v>3</v>
      </c>
      <c r="J30" s="5" t="s">
        <v>18</v>
      </c>
      <c r="K30" s="6">
        <f>IF(J30=[7]Legend!$A$66,[7]Legend!$B$66,(IF(J30=[7]Legend!$A$67,[7]Legend!$B$67,IF(J30=[7]Legend!$A$68, [7]Legend!$B$68, IF(J30=[7]Legend!$A$69, [7]Legend!$B$69, IF(J30=[7]Legend!$A$70, [7]Legend!$B$70, IF(J30=[7]Legend!$A$71, [7]Legend!$B$71, IF(J30=[7]Legend!$A$72, [7]Legend!$B$72, (IF(J30=[7]Legend!$A$73, [7]Legend!$B$73, IF(J30=[7]Legend!$A$74, [7]Legend!$B$74, "")))))))))))</f>
        <v>5</v>
      </c>
      <c r="L30" s="5">
        <v>5</v>
      </c>
      <c r="M30" s="5"/>
      <c r="N30" s="5"/>
      <c r="O30" s="5"/>
    </row>
    <row r="31" spans="1:15" ht="14" customHeight="1" x14ac:dyDescent="0.45">
      <c r="A31" s="7">
        <v>45560</v>
      </c>
      <c r="B31" s="5" t="s">
        <v>59</v>
      </c>
      <c r="C31" s="5" t="s">
        <v>16</v>
      </c>
      <c r="D31" s="5">
        <v>2</v>
      </c>
      <c r="E31" s="5">
        <v>2</v>
      </c>
      <c r="F31" s="5">
        <v>2</v>
      </c>
      <c r="G31" s="7">
        <v>45561</v>
      </c>
      <c r="H31" s="5" t="s">
        <v>108</v>
      </c>
      <c r="I31" s="5">
        <v>3</v>
      </c>
      <c r="J31" s="5" t="s">
        <v>19</v>
      </c>
      <c r="K31" s="6">
        <f>IF(J31=[7]Legend!$A$66,[7]Legend!$B$66,(IF(J31=[7]Legend!$A$67,[7]Legend!$B$67,IF(J31=[7]Legend!$A$68, [7]Legend!$B$68, IF(J31=[7]Legend!$A$69, [7]Legend!$B$69, IF(J31=[7]Legend!$A$70, [7]Legend!$B$70, IF(J31=[7]Legend!$A$71, [7]Legend!$B$71, IF(J31=[7]Legend!$A$72, [7]Legend!$B$72, (IF(J31=[7]Legend!$A$73, [7]Legend!$B$73, IF(J31=[7]Legend!$A$74, [7]Legend!$B$74, "")))))))))))</f>
        <v>9</v>
      </c>
      <c r="L31" s="5">
        <v>9</v>
      </c>
      <c r="M31" s="5"/>
      <c r="N31" s="5"/>
      <c r="O31" s="5"/>
    </row>
    <row r="32" spans="1:15" ht="14" customHeight="1" x14ac:dyDescent="0.45">
      <c r="A32" s="7">
        <v>45567</v>
      </c>
      <c r="B32" s="5" t="s">
        <v>59</v>
      </c>
      <c r="C32" s="5" t="s">
        <v>43</v>
      </c>
      <c r="D32" s="31">
        <v>3</v>
      </c>
      <c r="E32" s="31">
        <v>2</v>
      </c>
      <c r="F32" s="31">
        <v>1</v>
      </c>
      <c r="G32" s="7">
        <v>45601</v>
      </c>
      <c r="H32" s="5" t="s">
        <v>17</v>
      </c>
      <c r="I32" s="5">
        <v>3</v>
      </c>
      <c r="J32" s="5" t="s">
        <v>60</v>
      </c>
      <c r="K32" s="6">
        <f>IF(J32=[1]Legend!$A$66,[1]Legend!$B$66,(IF(J32=[1]Legend!$A$67,[1]Legend!$B$67,IF(J32=[1]Legend!$A$68, [1]Legend!$B$68, IF(J32=[1]Legend!$A$69, [1]Legend!$B$69, IF(J32=[1]Legend!$A$70, [1]Legend!$B$70, IF(J32=[1]Legend!$A$71, [1]Legend!$B$71, IF(J32=[1]Legend!$A$72, [1]Legend!$B$72, (IF(J32=[1]Legend!$A$73, [1]Legend!$B$73, IF(J32=[1]Legend!$A$74, [1]Legend!$B$74, "")))))))))))</f>
        <v>25</v>
      </c>
      <c r="L32" s="5">
        <v>25</v>
      </c>
      <c r="M32" s="5"/>
      <c r="N32" s="5"/>
      <c r="O32" s="5" t="s">
        <v>44</v>
      </c>
    </row>
    <row r="33" spans="1:15" ht="14" customHeight="1" x14ac:dyDescent="0.45">
      <c r="A33" s="7">
        <v>45567</v>
      </c>
      <c r="B33" s="5" t="s">
        <v>59</v>
      </c>
      <c r="C33" s="5" t="s">
        <v>43</v>
      </c>
      <c r="D33" s="31">
        <v>3</v>
      </c>
      <c r="E33" s="31">
        <v>2</v>
      </c>
      <c r="F33" s="31">
        <v>1</v>
      </c>
      <c r="G33" s="7">
        <v>45601</v>
      </c>
      <c r="H33" s="5" t="s">
        <v>17</v>
      </c>
      <c r="I33" s="5">
        <v>3</v>
      </c>
      <c r="J33" s="5" t="s">
        <v>18</v>
      </c>
      <c r="K33" s="6">
        <f>IF(J33=[1]Legend!$A$66,[1]Legend!$B$66,(IF(J33=[1]Legend!$A$67,[1]Legend!$B$67,IF(J33=[1]Legend!$A$68, [1]Legend!$B$68, IF(J33=[1]Legend!$A$69, [1]Legend!$B$69, IF(J33=[1]Legend!$A$70, [1]Legend!$B$70, IF(J33=[1]Legend!$A$71, [1]Legend!$B$71, IF(J33=[1]Legend!$A$72, [1]Legend!$B$72, (IF(J33=[1]Legend!$A$73, [1]Legend!$B$73, IF(J33=[1]Legend!$A$74, [1]Legend!$B$74, "")))))))))))</f>
        <v>5</v>
      </c>
      <c r="L33" s="5">
        <v>2</v>
      </c>
      <c r="M33" s="5"/>
      <c r="N33" s="5"/>
      <c r="O33" s="5"/>
    </row>
    <row r="34" spans="1:15" ht="14" customHeight="1" x14ac:dyDescent="0.45">
      <c r="A34" s="7">
        <v>45567</v>
      </c>
      <c r="B34" s="5" t="s">
        <v>59</v>
      </c>
      <c r="C34" s="5" t="s">
        <v>43</v>
      </c>
      <c r="D34" s="31">
        <v>3</v>
      </c>
      <c r="E34" s="31">
        <v>2</v>
      </c>
      <c r="F34" s="31">
        <v>1</v>
      </c>
      <c r="G34" s="7">
        <v>45601</v>
      </c>
      <c r="H34" s="5" t="s">
        <v>17</v>
      </c>
      <c r="I34" s="5">
        <v>3</v>
      </c>
      <c r="J34" s="5" t="s">
        <v>19</v>
      </c>
      <c r="K34" s="6">
        <f>IF(J34=[1]Legend!$A$66,[1]Legend!$B$66,(IF(J34=[1]Legend!$A$67,[1]Legend!$B$67,IF(J34=[1]Legend!$A$68, [1]Legend!$B$68, IF(J34=[1]Legend!$A$69, [1]Legend!$B$69, IF(J34=[1]Legend!$A$70, [1]Legend!$B$70, IF(J34=[1]Legend!$A$71, [1]Legend!$B$71, IF(J34=[1]Legend!$A$72, [1]Legend!$B$72, (IF(J34=[1]Legend!$A$73, [1]Legend!$B$73, IF(J34=[1]Legend!$A$74, [1]Legend!$B$74, "")))))))))))</f>
        <v>9</v>
      </c>
      <c r="L34" s="5">
        <v>8</v>
      </c>
      <c r="M34" s="5"/>
      <c r="N34" s="5"/>
      <c r="O34" s="5"/>
    </row>
    <row r="35" spans="1:15" ht="14" customHeight="1" x14ac:dyDescent="0.45">
      <c r="A35" s="7">
        <v>45553</v>
      </c>
      <c r="B35" s="5" t="s">
        <v>59</v>
      </c>
      <c r="C35" s="5"/>
      <c r="D35" s="5">
        <v>1</v>
      </c>
      <c r="E35" s="5">
        <v>3</v>
      </c>
      <c r="F35" s="5">
        <v>1</v>
      </c>
      <c r="G35" s="7">
        <v>45587</v>
      </c>
      <c r="H35" s="5" t="s">
        <v>17</v>
      </c>
      <c r="I35" s="5">
        <v>3</v>
      </c>
      <c r="J35" s="5" t="s">
        <v>60</v>
      </c>
      <c r="K35" s="6">
        <f>IF(J35=[1]Legend!$A$66,[1]Legend!$B$66,(IF(J35=[1]Legend!$A$67,[1]Legend!$B$67,IF(J35=[1]Legend!$A$68, [1]Legend!$B$68, IF(J35=[1]Legend!$A$69, [1]Legend!$B$69, IF(J35=[1]Legend!$A$70, [1]Legend!$B$70, IF(J35=[1]Legend!$A$71, [1]Legend!$B$71, IF(J35=[1]Legend!$A$72, [1]Legend!$B$72, (IF(J35=[1]Legend!$A$73, [1]Legend!$B$73, IF(J35=[1]Legend!$A$74, [1]Legend!$B$74, "")))))))))))</f>
        <v>25</v>
      </c>
      <c r="L35" s="5">
        <v>25</v>
      </c>
      <c r="M35" s="5"/>
      <c r="N35" s="5"/>
      <c r="O35" s="5"/>
    </row>
    <row r="36" spans="1:15" ht="14" customHeight="1" x14ac:dyDescent="0.45">
      <c r="A36" s="7">
        <v>45553</v>
      </c>
      <c r="B36" s="5" t="s">
        <v>59</v>
      </c>
      <c r="C36" s="5"/>
      <c r="D36" s="5">
        <v>1</v>
      </c>
      <c r="E36" s="5">
        <v>3</v>
      </c>
      <c r="F36" s="5">
        <v>1</v>
      </c>
      <c r="G36" s="7">
        <v>45587</v>
      </c>
      <c r="H36" s="5" t="s">
        <v>17</v>
      </c>
      <c r="I36" s="5">
        <v>3</v>
      </c>
      <c r="J36" s="5" t="s">
        <v>18</v>
      </c>
      <c r="K36" s="6">
        <f>IF(J36=[1]Legend!$A$66,[1]Legend!$B$66,(IF(J36=[1]Legend!$A$67,[1]Legend!$B$67,IF(J36=[1]Legend!$A$68, [1]Legend!$B$68, IF(J36=[1]Legend!$A$69, [1]Legend!$B$69, IF(J36=[1]Legend!$A$70, [1]Legend!$B$70, IF(J36=[1]Legend!$A$71, [1]Legend!$B$71, IF(J36=[1]Legend!$A$72, [1]Legend!$B$72, (IF(J36=[1]Legend!$A$73, [1]Legend!$B$73, IF(J36=[1]Legend!$A$74, [1]Legend!$B$74, "")))))))))))</f>
        <v>5</v>
      </c>
      <c r="L36" s="5">
        <v>5</v>
      </c>
      <c r="M36" s="5"/>
      <c r="N36" s="5"/>
      <c r="O36" s="5"/>
    </row>
    <row r="37" spans="1:15" ht="14" customHeight="1" x14ac:dyDescent="0.45">
      <c r="A37" s="7">
        <v>45553</v>
      </c>
      <c r="B37" s="5" t="s">
        <v>59</v>
      </c>
      <c r="C37" s="5"/>
      <c r="D37" s="5">
        <v>1</v>
      </c>
      <c r="E37" s="5">
        <v>3</v>
      </c>
      <c r="F37" s="5">
        <v>1</v>
      </c>
      <c r="G37" s="7">
        <v>45587</v>
      </c>
      <c r="H37" s="5" t="s">
        <v>17</v>
      </c>
      <c r="I37" s="5">
        <v>3</v>
      </c>
      <c r="J37" s="5" t="s">
        <v>19</v>
      </c>
      <c r="K37" s="6">
        <f>IF(J37=[1]Legend!$A$66,[1]Legend!$B$66,(IF(J37=[1]Legend!$A$67,[1]Legend!$B$67,IF(J37=[1]Legend!$A$68, [1]Legend!$B$68, IF(J37=[1]Legend!$A$69, [1]Legend!$B$69, IF(J37=[1]Legend!$A$70, [1]Legend!$B$70, IF(J37=[1]Legend!$A$71, [1]Legend!$B$71, IF(J37=[1]Legend!$A$72, [1]Legend!$B$72, (IF(J37=[1]Legend!$A$73, [1]Legend!$B$73, IF(J37=[1]Legend!$A$74, [1]Legend!$B$74, "")))))))))))</f>
        <v>9</v>
      </c>
      <c r="L37" s="5">
        <v>9</v>
      </c>
      <c r="M37" s="5"/>
      <c r="N37" s="5"/>
      <c r="O37" s="5"/>
    </row>
    <row r="38" spans="1:15" ht="14" customHeight="1" x14ac:dyDescent="0.45">
      <c r="A38" s="7">
        <v>45553</v>
      </c>
      <c r="B38" s="5" t="s">
        <v>59</v>
      </c>
      <c r="C38" s="5"/>
      <c r="D38" s="5">
        <v>1</v>
      </c>
      <c r="E38" s="5">
        <v>3</v>
      </c>
      <c r="F38" s="5">
        <v>2</v>
      </c>
      <c r="G38" s="7">
        <v>45587</v>
      </c>
      <c r="H38" s="5" t="s">
        <v>17</v>
      </c>
      <c r="I38" s="5">
        <v>3</v>
      </c>
      <c r="J38" s="5" t="s">
        <v>60</v>
      </c>
      <c r="K38" s="6">
        <f>IF(J38=[1]Legend!$A$66,[1]Legend!$B$66,(IF(J38=[1]Legend!$A$67,[1]Legend!$B$67,IF(J38=[1]Legend!$A$68, [1]Legend!$B$68, IF(J38=[1]Legend!$A$69, [1]Legend!$B$69, IF(J38=[1]Legend!$A$70, [1]Legend!$B$70, IF(J38=[1]Legend!$A$71, [1]Legend!$B$71, IF(J38=[1]Legend!$A$72, [1]Legend!$B$72, (IF(J38=[1]Legend!$A$73, [1]Legend!$B$73, IF(J38=[1]Legend!$A$74, [1]Legend!$B$74, "")))))))))))</f>
        <v>25</v>
      </c>
      <c r="L38" s="5">
        <v>25</v>
      </c>
      <c r="M38" s="5"/>
      <c r="N38" s="5"/>
      <c r="O38" s="5"/>
    </row>
    <row r="39" spans="1:15" ht="14" customHeight="1" x14ac:dyDescent="0.45">
      <c r="A39" s="7">
        <v>45553</v>
      </c>
      <c r="B39" s="5" t="s">
        <v>59</v>
      </c>
      <c r="C39" s="5"/>
      <c r="D39" s="5">
        <v>1</v>
      </c>
      <c r="E39" s="5">
        <v>3</v>
      </c>
      <c r="F39" s="5">
        <v>2</v>
      </c>
      <c r="G39" s="7">
        <v>45587</v>
      </c>
      <c r="H39" s="5" t="s">
        <v>17</v>
      </c>
      <c r="I39" s="5">
        <v>3</v>
      </c>
      <c r="J39" s="5" t="s">
        <v>18</v>
      </c>
      <c r="K39" s="6">
        <f>IF(J39=[1]Legend!$A$66,[1]Legend!$B$66,(IF(J39=[1]Legend!$A$67,[1]Legend!$B$67,IF(J39=[1]Legend!$A$68, [1]Legend!$B$68, IF(J39=[1]Legend!$A$69, [1]Legend!$B$69, IF(J39=[1]Legend!$A$70, [1]Legend!$B$70, IF(J39=[1]Legend!$A$71, [1]Legend!$B$71, IF(J39=[1]Legend!$A$72, [1]Legend!$B$72, (IF(J39=[1]Legend!$A$73, [1]Legend!$B$73, IF(J39=[1]Legend!$A$74, [1]Legend!$B$74, "")))))))))))</f>
        <v>5</v>
      </c>
      <c r="L39" s="5">
        <v>5</v>
      </c>
      <c r="M39" s="5"/>
      <c r="N39" s="5"/>
      <c r="O39" s="5"/>
    </row>
    <row r="40" spans="1:15" ht="14" customHeight="1" x14ac:dyDescent="0.45">
      <c r="A40" s="7">
        <v>45553</v>
      </c>
      <c r="B40" s="5" t="s">
        <v>59</v>
      </c>
      <c r="C40" s="5"/>
      <c r="D40" s="5">
        <v>1</v>
      </c>
      <c r="E40" s="5">
        <v>3</v>
      </c>
      <c r="F40" s="5">
        <v>2</v>
      </c>
      <c r="G40" s="7">
        <v>45587</v>
      </c>
      <c r="H40" s="5" t="s">
        <v>17</v>
      </c>
      <c r="I40" s="5">
        <v>3</v>
      </c>
      <c r="J40" s="5" t="s">
        <v>19</v>
      </c>
      <c r="K40" s="6">
        <f>IF(J40=[1]Legend!$A$66,[1]Legend!$B$66,(IF(J40=[1]Legend!$A$67,[1]Legend!$B$67,IF(J40=[1]Legend!$A$68, [1]Legend!$B$68, IF(J40=[1]Legend!$A$69, [1]Legend!$B$69, IF(J40=[1]Legend!$A$70, [1]Legend!$B$70, IF(J40=[1]Legend!$A$71, [1]Legend!$B$71, IF(J40=[1]Legend!$A$72, [1]Legend!$B$72, (IF(J40=[1]Legend!$A$73, [1]Legend!$B$73, IF(J40=[1]Legend!$A$74, [1]Legend!$B$74, "")))))))))))</f>
        <v>9</v>
      </c>
      <c r="L40" s="5">
        <v>9</v>
      </c>
      <c r="M40" s="5"/>
      <c r="N40" s="5"/>
      <c r="O40" s="5"/>
    </row>
    <row r="41" spans="1:15" ht="14" customHeight="1" x14ac:dyDescent="0.45">
      <c r="A41" s="7">
        <v>45560</v>
      </c>
      <c r="B41" s="5" t="s">
        <v>59</v>
      </c>
      <c r="C41" s="5" t="s">
        <v>16</v>
      </c>
      <c r="D41" s="5">
        <v>2</v>
      </c>
      <c r="E41" s="5">
        <v>3</v>
      </c>
      <c r="F41" s="5">
        <v>1</v>
      </c>
      <c r="G41" s="7">
        <v>45561</v>
      </c>
      <c r="H41" s="5" t="s">
        <v>108</v>
      </c>
      <c r="I41" s="5">
        <v>3</v>
      </c>
      <c r="J41" s="5" t="s">
        <v>60</v>
      </c>
      <c r="K41" s="6">
        <f>IF(J41=[7]Legend!$A$66,[7]Legend!$B$66,(IF(J41=[7]Legend!$A$67,[7]Legend!$B$67,IF(J41=[7]Legend!$A$68, [7]Legend!$B$68, IF(J41=[7]Legend!$A$69, [7]Legend!$B$69, IF(J41=[7]Legend!$A$70, [7]Legend!$B$70, IF(J41=[7]Legend!$A$71, [7]Legend!$B$71, IF(J41=[7]Legend!$A$72, [7]Legend!$B$72, (IF(J41=[7]Legend!$A$73, [7]Legend!$B$73, IF(J41=[7]Legend!$A$74, [7]Legend!$B$74, "")))))))))))</f>
        <v>25</v>
      </c>
      <c r="L41" s="5">
        <v>25</v>
      </c>
      <c r="M41" s="5"/>
      <c r="N41" s="5"/>
      <c r="O41" s="5"/>
    </row>
    <row r="42" spans="1:15" ht="14" customHeight="1" x14ac:dyDescent="0.45">
      <c r="A42" s="7">
        <v>45560</v>
      </c>
      <c r="B42" s="5" t="s">
        <v>59</v>
      </c>
      <c r="C42" s="5" t="s">
        <v>16</v>
      </c>
      <c r="D42" s="5">
        <v>2</v>
      </c>
      <c r="E42" s="5">
        <v>3</v>
      </c>
      <c r="F42" s="5">
        <v>1</v>
      </c>
      <c r="G42" s="7">
        <v>45561</v>
      </c>
      <c r="H42" s="5" t="s">
        <v>108</v>
      </c>
      <c r="I42" s="5">
        <v>3</v>
      </c>
      <c r="J42" s="5" t="s">
        <v>18</v>
      </c>
      <c r="K42" s="6">
        <f>IF(J42=[7]Legend!$A$66,[7]Legend!$B$66,(IF(J42=[7]Legend!$A$67,[7]Legend!$B$67,IF(J42=[7]Legend!$A$68, [7]Legend!$B$68, IF(J42=[7]Legend!$A$69, [7]Legend!$B$69, IF(J42=[7]Legend!$A$70, [7]Legend!$B$70, IF(J42=[7]Legend!$A$71, [7]Legend!$B$71, IF(J42=[7]Legend!$A$72, [7]Legend!$B$72, (IF(J42=[7]Legend!$A$73, [7]Legend!$B$73, IF(J42=[7]Legend!$A$74, [7]Legend!$B$74, "")))))))))))</f>
        <v>5</v>
      </c>
      <c r="L42" s="5">
        <v>5</v>
      </c>
      <c r="M42" s="5"/>
      <c r="N42" s="5"/>
      <c r="O42" s="5"/>
    </row>
    <row r="43" spans="1:15" ht="14" customHeight="1" x14ac:dyDescent="0.45">
      <c r="A43" s="7">
        <v>45560</v>
      </c>
      <c r="B43" s="5" t="s">
        <v>59</v>
      </c>
      <c r="C43" s="5" t="s">
        <v>16</v>
      </c>
      <c r="D43" s="5">
        <v>2</v>
      </c>
      <c r="E43" s="5">
        <v>3</v>
      </c>
      <c r="F43" s="5">
        <v>1</v>
      </c>
      <c r="G43" s="7">
        <v>45561</v>
      </c>
      <c r="H43" s="5" t="s">
        <v>108</v>
      </c>
      <c r="I43" s="5">
        <v>3</v>
      </c>
      <c r="J43" s="5" t="s">
        <v>19</v>
      </c>
      <c r="K43" s="6">
        <f>IF(J43=[7]Legend!$A$66,[7]Legend!$B$66,(IF(J43=[7]Legend!$A$67,[7]Legend!$B$67,IF(J43=[7]Legend!$A$68, [7]Legend!$B$68, IF(J43=[7]Legend!$A$69, [7]Legend!$B$69, IF(J43=[7]Legend!$A$70, [7]Legend!$B$70, IF(J43=[7]Legend!$A$71, [7]Legend!$B$71, IF(J43=[7]Legend!$A$72, [7]Legend!$B$72, (IF(J43=[7]Legend!$A$73, [7]Legend!$B$73, IF(J43=[7]Legend!$A$74, [7]Legend!$B$74, "")))))))))))</f>
        <v>9</v>
      </c>
      <c r="L43" s="5">
        <v>9</v>
      </c>
      <c r="M43" s="5"/>
      <c r="N43" s="5"/>
      <c r="O43" s="5"/>
    </row>
    <row r="44" spans="1:15" ht="14" customHeight="1" x14ac:dyDescent="0.45">
      <c r="A44" s="7">
        <v>45560</v>
      </c>
      <c r="B44" s="5" t="s">
        <v>59</v>
      </c>
      <c r="C44" s="5" t="s">
        <v>16</v>
      </c>
      <c r="D44" s="5">
        <v>2</v>
      </c>
      <c r="E44" s="5">
        <v>3</v>
      </c>
      <c r="F44" s="5">
        <v>2</v>
      </c>
      <c r="G44" s="7">
        <v>45561</v>
      </c>
      <c r="H44" s="5" t="s">
        <v>108</v>
      </c>
      <c r="I44" s="5">
        <v>3</v>
      </c>
      <c r="J44" s="5" t="s">
        <v>60</v>
      </c>
      <c r="K44" s="6">
        <f>IF(J44=[7]Legend!$A$66,[7]Legend!$B$66,(IF(J44=[7]Legend!$A$67,[7]Legend!$B$67,IF(J44=[7]Legend!$A$68, [7]Legend!$B$68, IF(J44=[7]Legend!$A$69, [7]Legend!$B$69, IF(J44=[7]Legend!$A$70, [7]Legend!$B$70, IF(J44=[7]Legend!$A$71, [7]Legend!$B$71, IF(J44=[7]Legend!$A$72, [7]Legend!$B$72, (IF(J44=[7]Legend!$A$73, [7]Legend!$B$73, IF(J44=[7]Legend!$A$74, [7]Legend!$B$74, "")))))))))))</f>
        <v>25</v>
      </c>
      <c r="L44" s="5">
        <v>25</v>
      </c>
      <c r="M44" s="5"/>
      <c r="N44" s="5"/>
      <c r="O44" s="5"/>
    </row>
    <row r="45" spans="1:15" ht="14" customHeight="1" x14ac:dyDescent="0.45">
      <c r="A45" s="7">
        <v>45560</v>
      </c>
      <c r="B45" s="5" t="s">
        <v>59</v>
      </c>
      <c r="C45" s="5" t="s">
        <v>16</v>
      </c>
      <c r="D45" s="5">
        <v>2</v>
      </c>
      <c r="E45" s="5">
        <v>3</v>
      </c>
      <c r="F45" s="5">
        <v>2</v>
      </c>
      <c r="G45" s="7">
        <v>45561</v>
      </c>
      <c r="H45" s="5" t="s">
        <v>108</v>
      </c>
      <c r="I45" s="5">
        <v>3</v>
      </c>
      <c r="J45" s="5" t="s">
        <v>18</v>
      </c>
      <c r="K45" s="6">
        <f>IF(J45=[7]Legend!$A$66,[7]Legend!$B$66,(IF(J45=[7]Legend!$A$67,[7]Legend!$B$67,IF(J45=[7]Legend!$A$68, [7]Legend!$B$68, IF(J45=[7]Legend!$A$69, [7]Legend!$B$69, IF(J45=[7]Legend!$A$70, [7]Legend!$B$70, IF(J45=[7]Legend!$A$71, [7]Legend!$B$71, IF(J45=[7]Legend!$A$72, [7]Legend!$B$72, (IF(J45=[7]Legend!$A$73, [7]Legend!$B$73, IF(J45=[7]Legend!$A$74, [7]Legend!$B$74, "")))))))))))</f>
        <v>5</v>
      </c>
      <c r="L45" s="5">
        <v>5</v>
      </c>
      <c r="M45" s="5"/>
      <c r="N45" s="5"/>
      <c r="O45" s="5"/>
    </row>
    <row r="46" spans="1:15" ht="14" customHeight="1" x14ac:dyDescent="0.45">
      <c r="A46" s="7">
        <v>45560</v>
      </c>
      <c r="B46" s="5" t="s">
        <v>59</v>
      </c>
      <c r="C46" s="5" t="s">
        <v>16</v>
      </c>
      <c r="D46" s="5">
        <v>2</v>
      </c>
      <c r="E46" s="5">
        <v>3</v>
      </c>
      <c r="F46" s="5">
        <v>2</v>
      </c>
      <c r="G46" s="7">
        <v>45561</v>
      </c>
      <c r="H46" s="5" t="s">
        <v>108</v>
      </c>
      <c r="I46" s="5">
        <v>3</v>
      </c>
      <c r="J46" s="5" t="s">
        <v>19</v>
      </c>
      <c r="K46" s="6">
        <f>IF(J46=[7]Legend!$A$66,[7]Legend!$B$66,(IF(J46=[7]Legend!$A$67,[7]Legend!$B$67,IF(J46=[7]Legend!$A$68, [7]Legend!$B$68, IF(J46=[7]Legend!$A$69, [7]Legend!$B$69, IF(J46=[7]Legend!$A$70, [7]Legend!$B$70, IF(J46=[7]Legend!$A$71, [7]Legend!$B$71, IF(J46=[7]Legend!$A$72, [7]Legend!$B$72, (IF(J46=[7]Legend!$A$73, [7]Legend!$B$73, IF(J46=[7]Legend!$A$74, [7]Legend!$B$74, "")))))))))))</f>
        <v>9</v>
      </c>
      <c r="L46" s="5">
        <v>9</v>
      </c>
      <c r="M46" s="5"/>
      <c r="N46" s="5"/>
      <c r="O46" s="5"/>
    </row>
    <row r="47" spans="1:15" ht="14" customHeight="1" x14ac:dyDescent="0.45">
      <c r="A47" s="7">
        <v>45567</v>
      </c>
      <c r="B47" s="5" t="s">
        <v>59</v>
      </c>
      <c r="C47" s="5" t="s">
        <v>132</v>
      </c>
      <c r="D47" s="31">
        <v>3</v>
      </c>
      <c r="E47" s="31">
        <v>3</v>
      </c>
      <c r="F47" s="31">
        <v>2</v>
      </c>
      <c r="G47" s="7">
        <v>45714</v>
      </c>
      <c r="H47" s="5" t="s">
        <v>91</v>
      </c>
      <c r="I47" s="5">
        <v>3</v>
      </c>
      <c r="J47" s="5" t="s">
        <v>60</v>
      </c>
      <c r="K47" s="6">
        <f>IF(J47=[14]Legend!$A$67,[14]Legend!$B$67,(IF(J47=[14]Legend!$A$68,[14]Legend!$B$68,IF(J47=[14]Legend!$A$69, [14]Legend!$B$69, IF(J47=[14]Legend!$A$70, [14]Legend!$B$70, IF(J47=[14]Legend!$A$71, [14]Legend!$B$71, IF(J47=[14]Legend!$A$72, [14]Legend!$B$72, IF(J47=[14]Legend!$A$73, [14]Legend!$B$73, (IF(J47=[14]Legend!$A$74, [14]Legend!$B$74, IF(J47=[14]Legend!$A$75, [14]Legend!$B$75, "")))))))))))</f>
        <v>25</v>
      </c>
      <c r="L47" s="5">
        <v>25</v>
      </c>
      <c r="M47" s="5">
        <v>0</v>
      </c>
      <c r="N47" s="5"/>
      <c r="O47" s="5"/>
    </row>
    <row r="48" spans="1:15" ht="14" customHeight="1" x14ac:dyDescent="0.45">
      <c r="A48" s="7">
        <v>45567</v>
      </c>
      <c r="B48" s="5" t="s">
        <v>59</v>
      </c>
      <c r="C48" s="5" t="s">
        <v>132</v>
      </c>
      <c r="D48" s="31">
        <v>3</v>
      </c>
      <c r="E48" s="31">
        <v>3</v>
      </c>
      <c r="F48" s="31">
        <v>2</v>
      </c>
      <c r="G48" s="7">
        <v>45714</v>
      </c>
      <c r="H48" s="5" t="s">
        <v>91</v>
      </c>
      <c r="I48" s="5">
        <v>3</v>
      </c>
      <c r="J48" s="5" t="s">
        <v>18</v>
      </c>
      <c r="K48" s="6">
        <f>IF(J48=[14]Legend!$A$67,[14]Legend!$B$67,(IF(J48=[14]Legend!$A$68,[14]Legend!$B$68,IF(J48=[14]Legend!$A$69, [14]Legend!$B$69, IF(J48=[14]Legend!$A$70, [14]Legend!$B$70, IF(J48=[14]Legend!$A$71, [14]Legend!$B$71, IF(J48=[14]Legend!$A$72, [14]Legend!$B$72, IF(J48=[14]Legend!$A$73, [14]Legend!$B$73, (IF(J48=[14]Legend!$A$74, [14]Legend!$B$74, IF(J48=[14]Legend!$A$75, [14]Legend!$B$75, "")))))))))))</f>
        <v>5</v>
      </c>
      <c r="L48" s="5">
        <v>5</v>
      </c>
      <c r="M48" s="5">
        <v>0</v>
      </c>
      <c r="N48" s="5"/>
      <c r="O48" s="5"/>
    </row>
    <row r="49" spans="1:15" ht="14" customHeight="1" x14ac:dyDescent="0.45">
      <c r="A49" s="7">
        <v>45567</v>
      </c>
      <c r="B49" s="5" t="s">
        <v>59</v>
      </c>
      <c r="C49" s="5" t="s">
        <v>132</v>
      </c>
      <c r="D49" s="31">
        <v>3</v>
      </c>
      <c r="E49" s="31">
        <v>3</v>
      </c>
      <c r="F49" s="31">
        <v>2</v>
      </c>
      <c r="G49" s="7">
        <v>45714</v>
      </c>
      <c r="H49" s="5" t="s">
        <v>91</v>
      </c>
      <c r="I49" s="5">
        <v>3</v>
      </c>
      <c r="J49" s="5" t="s">
        <v>19</v>
      </c>
      <c r="K49" s="6">
        <f>IF(J49=[14]Legend!$A$67,[14]Legend!$B$67,(IF(J49=[14]Legend!$A$68,[14]Legend!$B$68,IF(J49=[14]Legend!$A$69, [14]Legend!$B$69, IF(J49=[14]Legend!$A$70, [14]Legend!$B$70, IF(J49=[14]Legend!$A$71, [14]Legend!$B$71, IF(J49=[14]Legend!$A$72, [14]Legend!$B$72, IF(J49=[14]Legend!$A$73, [14]Legend!$B$73, (IF(J49=[14]Legend!$A$74, [14]Legend!$B$74, IF(J49=[14]Legend!$A$75, [14]Legend!$B$75, "")))))))))))</f>
        <v>9</v>
      </c>
      <c r="L49" s="5">
        <v>9</v>
      </c>
      <c r="M49" s="5">
        <v>1</v>
      </c>
      <c r="N49" s="5" t="s">
        <v>30</v>
      </c>
      <c r="O49" s="5"/>
    </row>
    <row r="50" spans="1:15" ht="14" customHeight="1" x14ac:dyDescent="0.45">
      <c r="A50" s="7">
        <v>45567</v>
      </c>
      <c r="B50" s="5" t="s">
        <v>59</v>
      </c>
      <c r="C50" s="5" t="s">
        <v>132</v>
      </c>
      <c r="D50" s="31">
        <v>3</v>
      </c>
      <c r="E50" s="31">
        <v>3</v>
      </c>
      <c r="F50" s="31">
        <v>1</v>
      </c>
      <c r="G50" s="7">
        <v>45719</v>
      </c>
      <c r="H50" s="5" t="s">
        <v>91</v>
      </c>
      <c r="I50" s="5">
        <v>3</v>
      </c>
      <c r="J50" s="5" t="s">
        <v>60</v>
      </c>
      <c r="K50" s="6">
        <f>IF(J50=[14]Legend!$A$67,[14]Legend!$B$67,(IF(J50=[14]Legend!$A$68,[14]Legend!$B$68,IF(J50=[14]Legend!$A$69, [14]Legend!$B$69, IF(J50=[14]Legend!$A$70, [14]Legend!$B$70, IF(J50=[14]Legend!$A$71, [14]Legend!$B$71, IF(J50=[14]Legend!$A$72, [14]Legend!$B$72, IF(J50=[14]Legend!$A$73, [14]Legend!$B$73, (IF(J50=[14]Legend!$A$74, [14]Legend!$B$74, IF(J50=[14]Legend!$A$75, [14]Legend!$B$75, "")))))))))))</f>
        <v>25</v>
      </c>
      <c r="L50" s="5">
        <v>25</v>
      </c>
      <c r="M50" s="5">
        <v>1</v>
      </c>
      <c r="N50" s="5" t="s">
        <v>21</v>
      </c>
      <c r="O50" s="5"/>
    </row>
    <row r="51" spans="1:15" ht="14" customHeight="1" x14ac:dyDescent="0.45">
      <c r="A51" s="7">
        <v>45567</v>
      </c>
      <c r="B51" s="5" t="s">
        <v>59</v>
      </c>
      <c r="C51" s="5" t="s">
        <v>132</v>
      </c>
      <c r="D51" s="31">
        <v>3</v>
      </c>
      <c r="E51" s="31">
        <v>3</v>
      </c>
      <c r="F51" s="31">
        <v>1</v>
      </c>
      <c r="G51" s="7">
        <v>45719</v>
      </c>
      <c r="H51" s="5" t="s">
        <v>91</v>
      </c>
      <c r="I51" s="5">
        <v>3</v>
      </c>
      <c r="J51" s="5" t="s">
        <v>18</v>
      </c>
      <c r="K51" s="6">
        <f>IF(J51=[14]Legend!$A$67,[14]Legend!$B$67,(IF(J51=[14]Legend!$A$68,[14]Legend!$B$68,IF(J51=[14]Legend!$A$69, [14]Legend!$B$69, IF(J51=[14]Legend!$A$70, [14]Legend!$B$70, IF(J51=[14]Legend!$A$71, [14]Legend!$B$71, IF(J51=[14]Legend!$A$72, [14]Legend!$B$72, IF(J51=[14]Legend!$A$73, [14]Legend!$B$73, (IF(J51=[14]Legend!$A$74, [14]Legend!$B$74, IF(J51=[14]Legend!$A$75, [14]Legend!$B$75, "")))))))))))</f>
        <v>5</v>
      </c>
      <c r="L51" s="5">
        <v>0</v>
      </c>
      <c r="M51" s="5">
        <v>0</v>
      </c>
      <c r="N51" s="5"/>
      <c r="O51" s="5"/>
    </row>
    <row r="52" spans="1:15" ht="14" customHeight="1" x14ac:dyDescent="0.45">
      <c r="A52" s="7">
        <v>45567</v>
      </c>
      <c r="B52" s="5" t="s">
        <v>59</v>
      </c>
      <c r="C52" s="5" t="s">
        <v>132</v>
      </c>
      <c r="D52" s="31">
        <v>3</v>
      </c>
      <c r="E52" s="31">
        <v>3</v>
      </c>
      <c r="F52" s="31">
        <v>1</v>
      </c>
      <c r="G52" s="7">
        <v>45719</v>
      </c>
      <c r="H52" s="5" t="s">
        <v>91</v>
      </c>
      <c r="I52" s="5">
        <v>3</v>
      </c>
      <c r="J52" s="5" t="s">
        <v>19</v>
      </c>
      <c r="K52" s="6">
        <f>IF(J52=[14]Legend!$A$67,[14]Legend!$B$67,(IF(J52=[14]Legend!$A$68,[14]Legend!$B$68,IF(J52=[14]Legend!$A$69, [14]Legend!$B$69, IF(J52=[14]Legend!$A$70, [14]Legend!$B$70, IF(J52=[14]Legend!$A$71, [14]Legend!$B$71, IF(J52=[14]Legend!$A$72, [14]Legend!$B$72, IF(J52=[14]Legend!$A$73, [14]Legend!$B$73, (IF(J52=[14]Legend!$A$74, [14]Legend!$B$74, IF(J52=[14]Legend!$A$75, [14]Legend!$B$75, "")))))))))))</f>
        <v>9</v>
      </c>
      <c r="L52" s="5">
        <v>2</v>
      </c>
      <c r="M52" s="5">
        <v>1</v>
      </c>
      <c r="N52" s="5" t="s">
        <v>21</v>
      </c>
      <c r="O52" s="5" t="s">
        <v>161</v>
      </c>
    </row>
    <row r="53" spans="1:15" ht="14" customHeight="1" x14ac:dyDescent="0.45">
      <c r="A53" s="7">
        <v>45567</v>
      </c>
      <c r="B53" s="5" t="s">
        <v>59</v>
      </c>
      <c r="C53" s="5" t="s">
        <v>132</v>
      </c>
      <c r="D53" s="31">
        <v>3</v>
      </c>
      <c r="E53" s="31">
        <v>3</v>
      </c>
      <c r="F53" s="31">
        <v>1</v>
      </c>
      <c r="G53" s="7">
        <v>45719</v>
      </c>
      <c r="H53" s="5" t="s">
        <v>91</v>
      </c>
      <c r="I53" s="5">
        <v>3</v>
      </c>
      <c r="J53" s="5" t="s">
        <v>60</v>
      </c>
      <c r="K53" s="6">
        <f>IF(J53=[14]Legend!$A$67,[14]Legend!$B$67,(IF(J53=[14]Legend!$A$68,[14]Legend!$B$68,IF(J53=[14]Legend!$A$69, [14]Legend!$B$69, IF(J53=[14]Legend!$A$70, [14]Legend!$B$70, IF(J53=[14]Legend!$A$71, [14]Legend!$B$71, IF(J53=[14]Legend!$A$72, [14]Legend!$B$72, IF(J53=[14]Legend!$A$73, [14]Legend!$B$73, (IF(J53=[14]Legend!$A$74, [14]Legend!$B$74, IF(J53=[14]Legend!$A$75, [14]Legend!$B$75, "")))))))))))</f>
        <v>25</v>
      </c>
      <c r="L53" s="5">
        <v>25</v>
      </c>
      <c r="M53" s="5">
        <v>0</v>
      </c>
      <c r="N53" s="5"/>
      <c r="O53" s="5"/>
    </row>
    <row r="54" spans="1:15" ht="14" customHeight="1" x14ac:dyDescent="0.45">
      <c r="A54" s="7">
        <v>45567</v>
      </c>
      <c r="B54" s="5" t="s">
        <v>59</v>
      </c>
      <c r="C54" s="5" t="s">
        <v>132</v>
      </c>
      <c r="D54" s="31">
        <v>3</v>
      </c>
      <c r="E54" s="31">
        <v>3</v>
      </c>
      <c r="F54" s="31">
        <v>1</v>
      </c>
      <c r="G54" s="7">
        <v>45719</v>
      </c>
      <c r="H54" s="5" t="s">
        <v>91</v>
      </c>
      <c r="I54" s="5">
        <v>3</v>
      </c>
      <c r="J54" s="5" t="s">
        <v>18</v>
      </c>
      <c r="K54" s="6">
        <f>IF(J54=[14]Legend!$A$67,[14]Legend!$B$67,(IF(J54=[14]Legend!$A$68,[14]Legend!$B$68,IF(J54=[14]Legend!$A$69, [14]Legend!$B$69, IF(J54=[14]Legend!$A$70, [14]Legend!$B$70, IF(J54=[14]Legend!$A$71, [14]Legend!$B$71, IF(J54=[14]Legend!$A$72, [14]Legend!$B$72, IF(J54=[14]Legend!$A$73, [14]Legend!$B$73, (IF(J54=[14]Legend!$A$74, [14]Legend!$B$74, IF(J54=[14]Legend!$A$75, [14]Legend!$B$75, "")))))))))))</f>
        <v>5</v>
      </c>
      <c r="L54" s="5">
        <v>5</v>
      </c>
      <c r="M54" s="5">
        <v>0</v>
      </c>
      <c r="N54" s="5"/>
      <c r="O54" s="5"/>
    </row>
    <row r="55" spans="1:15" ht="14" customHeight="1" x14ac:dyDescent="0.45">
      <c r="A55" s="7">
        <v>45567</v>
      </c>
      <c r="B55" s="5" t="s">
        <v>59</v>
      </c>
      <c r="C55" s="5" t="s">
        <v>132</v>
      </c>
      <c r="D55" s="31">
        <v>3</v>
      </c>
      <c r="E55" s="31">
        <v>3</v>
      </c>
      <c r="F55" s="31">
        <v>1</v>
      </c>
      <c r="G55" s="7">
        <v>45719</v>
      </c>
      <c r="H55" s="5" t="s">
        <v>91</v>
      </c>
      <c r="I55" s="5">
        <v>3</v>
      </c>
      <c r="J55" s="5" t="s">
        <v>19</v>
      </c>
      <c r="K55" s="6">
        <f>IF(J55=[14]Legend!$A$67,[14]Legend!$B$67,(IF(J55=[14]Legend!$A$68,[14]Legend!$B$68,IF(J55=[14]Legend!$A$69, [14]Legend!$B$69, IF(J55=[14]Legend!$A$70, [14]Legend!$B$70, IF(J55=[14]Legend!$A$71, [14]Legend!$B$71, IF(J55=[14]Legend!$A$72, [14]Legend!$B$72, IF(J55=[14]Legend!$A$73, [14]Legend!$B$73, (IF(J55=[14]Legend!$A$74, [14]Legend!$B$74, IF(J55=[14]Legend!$A$75, [14]Legend!$B$75, "")))))))))))</f>
        <v>9</v>
      </c>
      <c r="L55" s="5">
        <v>9</v>
      </c>
      <c r="M55" s="5">
        <v>0</v>
      </c>
      <c r="N55" s="5"/>
      <c r="O55" s="5"/>
    </row>
    <row r="56" spans="1:15" ht="14" customHeight="1" x14ac:dyDescent="0.45">
      <c r="A56" s="7">
        <v>45553</v>
      </c>
      <c r="B56" s="5" t="s">
        <v>59</v>
      </c>
      <c r="C56" s="5"/>
      <c r="D56" s="5">
        <v>1</v>
      </c>
      <c r="E56" s="5">
        <v>4</v>
      </c>
      <c r="F56" s="5">
        <v>1</v>
      </c>
      <c r="G56" s="7">
        <v>45587</v>
      </c>
      <c r="H56" s="5" t="s">
        <v>17</v>
      </c>
      <c r="I56" s="5">
        <v>3</v>
      </c>
      <c r="J56" s="5" t="s">
        <v>60</v>
      </c>
      <c r="K56" s="6">
        <f>IF(J56=[1]Legend!$A$66,[1]Legend!$B$66,(IF(J56=[1]Legend!$A$67,[1]Legend!$B$67,IF(J56=[1]Legend!$A$68, [1]Legend!$B$68, IF(J56=[1]Legend!$A$69, [1]Legend!$B$69, IF(J56=[1]Legend!$A$70, [1]Legend!$B$70, IF(J56=[1]Legend!$A$71, [1]Legend!$B$71, IF(J56=[1]Legend!$A$72, [1]Legend!$B$72, (IF(J56=[1]Legend!$A$73, [1]Legend!$B$73, IF(J56=[1]Legend!$A$74, [1]Legend!$B$74, "")))))))))))</f>
        <v>25</v>
      </c>
      <c r="L56" s="5">
        <v>25</v>
      </c>
      <c r="M56" s="5"/>
      <c r="N56" s="5"/>
      <c r="O56" s="5"/>
    </row>
    <row r="57" spans="1:15" ht="14" customHeight="1" x14ac:dyDescent="0.45">
      <c r="A57" s="7">
        <v>45553</v>
      </c>
      <c r="B57" s="5" t="s">
        <v>59</v>
      </c>
      <c r="C57" s="5"/>
      <c r="D57" s="5">
        <v>1</v>
      </c>
      <c r="E57" s="5">
        <v>4</v>
      </c>
      <c r="F57" s="5">
        <v>1</v>
      </c>
      <c r="G57" s="7">
        <v>45587</v>
      </c>
      <c r="H57" s="5" t="s">
        <v>17</v>
      </c>
      <c r="I57" s="5">
        <v>3</v>
      </c>
      <c r="J57" s="5" t="s">
        <v>18</v>
      </c>
      <c r="K57" s="6">
        <f>IF(J57=[1]Legend!$A$66,[1]Legend!$B$66,(IF(J57=[1]Legend!$A$67,[1]Legend!$B$67,IF(J57=[1]Legend!$A$68, [1]Legend!$B$68, IF(J57=[1]Legend!$A$69, [1]Legend!$B$69, IF(J57=[1]Legend!$A$70, [1]Legend!$B$70, IF(J57=[1]Legend!$A$71, [1]Legend!$B$71, IF(J57=[1]Legend!$A$72, [1]Legend!$B$72, (IF(J57=[1]Legend!$A$73, [1]Legend!$B$73, IF(J57=[1]Legend!$A$74, [1]Legend!$B$74, "")))))))))))</f>
        <v>5</v>
      </c>
      <c r="L57" s="5">
        <v>5</v>
      </c>
      <c r="M57" s="5"/>
      <c r="N57" s="5"/>
      <c r="O57" s="5"/>
    </row>
    <row r="58" spans="1:15" ht="14" customHeight="1" x14ac:dyDescent="0.45">
      <c r="A58" s="7">
        <v>45553</v>
      </c>
      <c r="B58" s="5" t="s">
        <v>59</v>
      </c>
      <c r="C58" s="5"/>
      <c r="D58" s="5">
        <v>1</v>
      </c>
      <c r="E58" s="5">
        <v>4</v>
      </c>
      <c r="F58" s="5">
        <v>1</v>
      </c>
      <c r="G58" s="7">
        <v>45587</v>
      </c>
      <c r="H58" s="5" t="s">
        <v>17</v>
      </c>
      <c r="I58" s="5">
        <v>3</v>
      </c>
      <c r="J58" s="5" t="s">
        <v>19</v>
      </c>
      <c r="K58" s="6">
        <f>IF(J58=[1]Legend!$A$66,[1]Legend!$B$66,(IF(J58=[1]Legend!$A$67,[1]Legend!$B$67,IF(J58=[1]Legend!$A$68, [1]Legend!$B$68, IF(J58=[1]Legend!$A$69, [1]Legend!$B$69, IF(J58=[1]Legend!$A$70, [1]Legend!$B$70, IF(J58=[1]Legend!$A$71, [1]Legend!$B$71, IF(J58=[1]Legend!$A$72, [1]Legend!$B$72, (IF(J58=[1]Legend!$A$73, [1]Legend!$B$73, IF(J58=[1]Legend!$A$74, [1]Legend!$B$74, "")))))))))))</f>
        <v>9</v>
      </c>
      <c r="L58" s="5">
        <v>9</v>
      </c>
      <c r="M58" s="5"/>
      <c r="N58" s="5"/>
      <c r="O58" s="5"/>
    </row>
    <row r="59" spans="1:15" ht="14" customHeight="1" x14ac:dyDescent="0.45">
      <c r="A59" s="7">
        <v>45553</v>
      </c>
      <c r="B59" s="5" t="s">
        <v>59</v>
      </c>
      <c r="C59" s="5"/>
      <c r="D59" s="5">
        <v>1</v>
      </c>
      <c r="E59" s="5">
        <v>4</v>
      </c>
      <c r="F59" s="5">
        <v>2</v>
      </c>
      <c r="G59" s="7">
        <v>45587</v>
      </c>
      <c r="H59" s="5" t="s">
        <v>17</v>
      </c>
      <c r="I59" s="5">
        <v>3</v>
      </c>
      <c r="J59" s="5" t="s">
        <v>60</v>
      </c>
      <c r="K59" s="6">
        <f>IF(J59=[1]Legend!$A$66,[1]Legend!$B$66,(IF(J59=[1]Legend!$A$67,[1]Legend!$B$67,IF(J59=[1]Legend!$A$68, [1]Legend!$B$68, IF(J59=[1]Legend!$A$69, [1]Legend!$B$69, IF(J59=[1]Legend!$A$70, [1]Legend!$B$70, IF(J59=[1]Legend!$A$71, [1]Legend!$B$71, IF(J59=[1]Legend!$A$72, [1]Legend!$B$72, (IF(J59=[1]Legend!$A$73, [1]Legend!$B$73, IF(J59=[1]Legend!$A$74, [1]Legend!$B$74, "")))))))))))</f>
        <v>25</v>
      </c>
      <c r="L59" s="5">
        <v>25</v>
      </c>
      <c r="M59" s="5"/>
      <c r="N59" s="5"/>
      <c r="O59" s="5"/>
    </row>
    <row r="60" spans="1:15" ht="14" customHeight="1" x14ac:dyDescent="0.45">
      <c r="A60" s="7">
        <v>45553</v>
      </c>
      <c r="B60" s="5" t="s">
        <v>59</v>
      </c>
      <c r="C60" s="5"/>
      <c r="D60" s="5">
        <v>1</v>
      </c>
      <c r="E60" s="5">
        <v>4</v>
      </c>
      <c r="F60" s="5">
        <v>2</v>
      </c>
      <c r="G60" s="7">
        <v>45587</v>
      </c>
      <c r="H60" s="5" t="s">
        <v>17</v>
      </c>
      <c r="I60" s="5">
        <v>3</v>
      </c>
      <c r="J60" s="5" t="s">
        <v>18</v>
      </c>
      <c r="K60" s="6">
        <f>IF(J60=[1]Legend!$A$66,[1]Legend!$B$66,(IF(J60=[1]Legend!$A$67,[1]Legend!$B$67,IF(J60=[1]Legend!$A$68, [1]Legend!$B$68, IF(J60=[1]Legend!$A$69, [1]Legend!$B$69, IF(J60=[1]Legend!$A$70, [1]Legend!$B$70, IF(J60=[1]Legend!$A$71, [1]Legend!$B$71, IF(J60=[1]Legend!$A$72, [1]Legend!$B$72, (IF(J60=[1]Legend!$A$73, [1]Legend!$B$73, IF(J60=[1]Legend!$A$74, [1]Legend!$B$74, "")))))))))))</f>
        <v>5</v>
      </c>
      <c r="L60" s="5">
        <v>5</v>
      </c>
      <c r="M60" s="5"/>
      <c r="N60" s="5"/>
      <c r="O60" s="5"/>
    </row>
    <row r="61" spans="1:15" ht="14" customHeight="1" x14ac:dyDescent="0.45">
      <c r="A61" s="7">
        <v>45553</v>
      </c>
      <c r="B61" s="5" t="s">
        <v>59</v>
      </c>
      <c r="C61" s="5"/>
      <c r="D61" s="5">
        <v>1</v>
      </c>
      <c r="E61" s="5">
        <v>4</v>
      </c>
      <c r="F61" s="5">
        <v>2</v>
      </c>
      <c r="G61" s="7">
        <v>45587</v>
      </c>
      <c r="H61" s="5" t="s">
        <v>17</v>
      </c>
      <c r="I61" s="5">
        <v>3</v>
      </c>
      <c r="J61" s="5" t="s">
        <v>19</v>
      </c>
      <c r="K61" s="6">
        <f>IF(J61=[1]Legend!$A$66,[1]Legend!$B$66,(IF(J61=[1]Legend!$A$67,[1]Legend!$B$67,IF(J61=[1]Legend!$A$68, [1]Legend!$B$68, IF(J61=[1]Legend!$A$69, [1]Legend!$B$69, IF(J61=[1]Legend!$A$70, [1]Legend!$B$70, IF(J61=[1]Legend!$A$71, [1]Legend!$B$71, IF(J61=[1]Legend!$A$72, [1]Legend!$B$72, (IF(J61=[1]Legend!$A$73, [1]Legend!$B$73, IF(J61=[1]Legend!$A$74, [1]Legend!$B$74, "")))))))))))</f>
        <v>9</v>
      </c>
      <c r="L61" s="5">
        <v>9</v>
      </c>
      <c r="M61" s="5"/>
      <c r="N61" s="5"/>
      <c r="O61" s="5"/>
    </row>
    <row r="62" spans="1:15" ht="14" customHeight="1" x14ac:dyDescent="0.45">
      <c r="A62" s="7">
        <v>45560</v>
      </c>
      <c r="B62" s="5" t="s">
        <v>59</v>
      </c>
      <c r="C62" s="5" t="s">
        <v>16</v>
      </c>
      <c r="D62" s="5">
        <v>2</v>
      </c>
      <c r="E62" s="5">
        <v>4</v>
      </c>
      <c r="F62" s="5">
        <v>1</v>
      </c>
      <c r="G62" s="7">
        <v>45561</v>
      </c>
      <c r="H62" s="5" t="s">
        <v>108</v>
      </c>
      <c r="I62" s="5">
        <v>3</v>
      </c>
      <c r="J62" s="5" t="s">
        <v>60</v>
      </c>
      <c r="K62" s="6">
        <f>IF(J62=[7]Legend!$A$66,[7]Legend!$B$66,(IF(J62=[7]Legend!$A$67,[7]Legend!$B$67,IF(J62=[7]Legend!$A$68, [7]Legend!$B$68, IF(J62=[7]Legend!$A$69, [7]Legend!$B$69, IF(J62=[7]Legend!$A$70, [7]Legend!$B$70, IF(J62=[7]Legend!$A$71, [7]Legend!$B$71, IF(J62=[7]Legend!$A$72, [7]Legend!$B$72, (IF(J62=[7]Legend!$A$73, [7]Legend!$B$73, IF(J62=[7]Legend!$A$74, [7]Legend!$B$74, "")))))))))))</f>
        <v>25</v>
      </c>
      <c r="L62" s="5">
        <v>2</v>
      </c>
      <c r="M62" s="5"/>
      <c r="N62" s="5"/>
      <c r="O62" s="5"/>
    </row>
    <row r="63" spans="1:15" ht="14" customHeight="1" x14ac:dyDescent="0.45">
      <c r="A63" s="7">
        <v>45560</v>
      </c>
      <c r="B63" s="5" t="s">
        <v>59</v>
      </c>
      <c r="C63" s="5" t="s">
        <v>16</v>
      </c>
      <c r="D63" s="5">
        <v>2</v>
      </c>
      <c r="E63" s="5">
        <v>4</v>
      </c>
      <c r="F63" s="5">
        <v>1</v>
      </c>
      <c r="G63" s="7">
        <v>45561</v>
      </c>
      <c r="H63" s="5" t="s">
        <v>108</v>
      </c>
      <c r="I63" s="5">
        <v>3</v>
      </c>
      <c r="J63" s="5" t="s">
        <v>18</v>
      </c>
      <c r="K63" s="6">
        <f>IF(J63=[7]Legend!$A$66,[7]Legend!$B$66,(IF(J63=[7]Legend!$A$67,[7]Legend!$B$67,IF(J63=[7]Legend!$A$68, [7]Legend!$B$68, IF(J63=[7]Legend!$A$69, [7]Legend!$B$69, IF(J63=[7]Legend!$A$70, [7]Legend!$B$70, IF(J63=[7]Legend!$A$71, [7]Legend!$B$71, IF(J63=[7]Legend!$A$72, [7]Legend!$B$72, (IF(J63=[7]Legend!$A$73, [7]Legend!$B$73, IF(J63=[7]Legend!$A$74, [7]Legend!$B$74, "")))))))))))</f>
        <v>5</v>
      </c>
      <c r="L63" s="5">
        <v>0</v>
      </c>
      <c r="M63" s="5"/>
      <c r="N63" s="5"/>
      <c r="O63" s="5"/>
    </row>
    <row r="64" spans="1:15" ht="14" customHeight="1" x14ac:dyDescent="0.45">
      <c r="A64" s="7">
        <v>45560</v>
      </c>
      <c r="B64" s="5" t="s">
        <v>59</v>
      </c>
      <c r="C64" s="5" t="s">
        <v>16</v>
      </c>
      <c r="D64" s="5">
        <v>2</v>
      </c>
      <c r="E64" s="5">
        <v>4</v>
      </c>
      <c r="F64" s="5">
        <v>1</v>
      </c>
      <c r="G64" s="7">
        <v>45561</v>
      </c>
      <c r="H64" s="5" t="s">
        <v>108</v>
      </c>
      <c r="I64" s="5">
        <v>3</v>
      </c>
      <c r="J64" s="5" t="s">
        <v>19</v>
      </c>
      <c r="K64" s="6">
        <f>IF(J64=[7]Legend!$A$66,[7]Legend!$B$66,(IF(J64=[7]Legend!$A$67,[7]Legend!$B$67,IF(J64=[7]Legend!$A$68, [7]Legend!$B$68, IF(J64=[7]Legend!$A$69, [7]Legend!$B$69, IF(J64=[7]Legend!$A$70, [7]Legend!$B$70, IF(J64=[7]Legend!$A$71, [7]Legend!$B$71, IF(J64=[7]Legend!$A$72, [7]Legend!$B$72, (IF(J64=[7]Legend!$A$73, [7]Legend!$B$73, IF(J64=[7]Legend!$A$74, [7]Legend!$B$74, "")))))))))))</f>
        <v>9</v>
      </c>
      <c r="L64" s="5">
        <v>3</v>
      </c>
      <c r="M64" s="5"/>
      <c r="N64" s="5"/>
      <c r="O64" s="5"/>
    </row>
    <row r="65" spans="1:15" ht="14" customHeight="1" x14ac:dyDescent="0.45">
      <c r="A65" s="7">
        <v>45560</v>
      </c>
      <c r="B65" s="5" t="s">
        <v>59</v>
      </c>
      <c r="C65" s="5" t="s">
        <v>16</v>
      </c>
      <c r="D65" s="5">
        <v>2</v>
      </c>
      <c r="E65" s="5">
        <v>4</v>
      </c>
      <c r="F65" s="5">
        <v>2</v>
      </c>
      <c r="G65" s="7">
        <v>45561</v>
      </c>
      <c r="H65" s="5" t="s">
        <v>108</v>
      </c>
      <c r="I65" s="5">
        <v>3</v>
      </c>
      <c r="J65" s="5" t="s">
        <v>60</v>
      </c>
      <c r="K65" s="6">
        <f>IF(J65=[7]Legend!$A$66,[7]Legend!$B$66,(IF(J65=[7]Legend!$A$67,[7]Legend!$B$67,IF(J65=[7]Legend!$A$68, [7]Legend!$B$68, IF(J65=[7]Legend!$A$69, [7]Legend!$B$69, IF(J65=[7]Legend!$A$70, [7]Legend!$B$70, IF(J65=[7]Legend!$A$71, [7]Legend!$B$71, IF(J65=[7]Legend!$A$72, [7]Legend!$B$72, (IF(J65=[7]Legend!$A$73, [7]Legend!$B$73, IF(J65=[7]Legend!$A$74, [7]Legend!$B$74, "")))))))))))</f>
        <v>25</v>
      </c>
      <c r="L65" s="5">
        <v>25</v>
      </c>
      <c r="M65" s="5"/>
      <c r="N65" s="5"/>
      <c r="O65" s="5"/>
    </row>
    <row r="66" spans="1:15" ht="14" customHeight="1" x14ac:dyDescent="0.45">
      <c r="A66" s="7">
        <v>45560</v>
      </c>
      <c r="B66" s="5" t="s">
        <v>59</v>
      </c>
      <c r="C66" s="5" t="s">
        <v>16</v>
      </c>
      <c r="D66" s="5">
        <v>2</v>
      </c>
      <c r="E66" s="5">
        <v>4</v>
      </c>
      <c r="F66" s="5">
        <v>2</v>
      </c>
      <c r="G66" s="7">
        <v>45561</v>
      </c>
      <c r="H66" s="5" t="s">
        <v>108</v>
      </c>
      <c r="I66" s="5">
        <v>3</v>
      </c>
      <c r="J66" s="5" t="s">
        <v>18</v>
      </c>
      <c r="K66" s="6">
        <f>IF(J66=[7]Legend!$A$66,[7]Legend!$B$66,(IF(J66=[7]Legend!$A$67,[7]Legend!$B$67,IF(J66=[7]Legend!$A$68, [7]Legend!$B$68, IF(J66=[7]Legend!$A$69, [7]Legend!$B$69, IF(J66=[7]Legend!$A$70, [7]Legend!$B$70, IF(J66=[7]Legend!$A$71, [7]Legend!$B$71, IF(J66=[7]Legend!$A$72, [7]Legend!$B$72, (IF(J66=[7]Legend!$A$73, [7]Legend!$B$73, IF(J66=[7]Legend!$A$74, [7]Legend!$B$74, "")))))))))))</f>
        <v>5</v>
      </c>
      <c r="L66" s="5">
        <v>5</v>
      </c>
      <c r="M66" s="5"/>
      <c r="N66" s="5"/>
      <c r="O66" s="5"/>
    </row>
    <row r="67" spans="1:15" ht="14" customHeight="1" x14ac:dyDescent="0.45">
      <c r="A67" s="7">
        <v>45560</v>
      </c>
      <c r="B67" s="5" t="s">
        <v>59</v>
      </c>
      <c r="C67" s="5" t="s">
        <v>16</v>
      </c>
      <c r="D67" s="5">
        <v>2</v>
      </c>
      <c r="E67" s="5">
        <v>4</v>
      </c>
      <c r="F67" s="5">
        <v>2</v>
      </c>
      <c r="G67" s="7">
        <v>45561</v>
      </c>
      <c r="H67" s="5" t="s">
        <v>108</v>
      </c>
      <c r="I67" s="5">
        <v>3</v>
      </c>
      <c r="J67" s="5" t="s">
        <v>19</v>
      </c>
      <c r="K67" s="6">
        <f>IF(J67=[7]Legend!$A$66,[7]Legend!$B$66,(IF(J67=[7]Legend!$A$67,[7]Legend!$B$67,IF(J67=[7]Legend!$A$68, [7]Legend!$B$68, IF(J67=[7]Legend!$A$69, [7]Legend!$B$69, IF(J67=[7]Legend!$A$70, [7]Legend!$B$70, IF(J67=[7]Legend!$A$71, [7]Legend!$B$71, IF(J67=[7]Legend!$A$72, [7]Legend!$B$72, (IF(J67=[7]Legend!$A$73, [7]Legend!$B$73, IF(J67=[7]Legend!$A$74, [7]Legend!$B$74, "")))))))))))</f>
        <v>9</v>
      </c>
      <c r="L67" s="5">
        <v>9</v>
      </c>
      <c r="M67" s="5"/>
      <c r="N67" s="5"/>
      <c r="O67" s="5"/>
    </row>
    <row r="68" spans="1:15" ht="14" customHeight="1" x14ac:dyDescent="0.45">
      <c r="A68" s="7">
        <v>45567</v>
      </c>
      <c r="B68" s="5" t="s">
        <v>59</v>
      </c>
      <c r="C68" s="5" t="s">
        <v>132</v>
      </c>
      <c r="D68" s="5">
        <v>3</v>
      </c>
      <c r="E68" s="5">
        <v>4</v>
      </c>
      <c r="F68" s="5">
        <v>1</v>
      </c>
      <c r="G68" s="7">
        <v>45714</v>
      </c>
      <c r="H68" s="5" t="s">
        <v>91</v>
      </c>
      <c r="I68" s="5">
        <v>3</v>
      </c>
      <c r="J68" s="5" t="s">
        <v>60</v>
      </c>
      <c r="K68" s="6">
        <f>IF(J68=[14]Legend!$A$67,[14]Legend!$B$67,(IF(J68=[14]Legend!$A$68,[14]Legend!$B$68,IF(J68=[14]Legend!$A$69, [14]Legend!$B$69, IF(J68=[14]Legend!$A$70, [14]Legend!$B$70, IF(J68=[14]Legend!$A$71, [14]Legend!$B$71, IF(J68=[14]Legend!$A$72, [14]Legend!$B$72, IF(J68=[14]Legend!$A$73, [14]Legend!$B$73, (IF(J68=[14]Legend!$A$74, [14]Legend!$B$74, IF(J68=[14]Legend!$A$75, [14]Legend!$B$75, "")))))))))))</f>
        <v>25</v>
      </c>
      <c r="L68" s="5">
        <v>23</v>
      </c>
      <c r="M68" s="5">
        <v>0</v>
      </c>
      <c r="N68" s="5"/>
      <c r="O68" s="5"/>
    </row>
    <row r="69" spans="1:15" ht="14" customHeight="1" x14ac:dyDescent="0.45">
      <c r="A69" s="7">
        <v>45567</v>
      </c>
      <c r="B69" s="5" t="s">
        <v>59</v>
      </c>
      <c r="C69" s="5" t="s">
        <v>132</v>
      </c>
      <c r="D69" s="5">
        <v>3</v>
      </c>
      <c r="E69" s="5">
        <v>4</v>
      </c>
      <c r="F69" s="5">
        <v>1</v>
      </c>
      <c r="G69" s="7">
        <v>45714</v>
      </c>
      <c r="H69" s="5" t="s">
        <v>91</v>
      </c>
      <c r="I69" s="5">
        <v>3</v>
      </c>
      <c r="J69" s="5" t="s">
        <v>18</v>
      </c>
      <c r="K69" s="6">
        <f>IF(J69=[14]Legend!$A$67,[14]Legend!$B$67,(IF(J69=[14]Legend!$A$68,[14]Legend!$B$68,IF(J69=[14]Legend!$A$69, [14]Legend!$B$69, IF(J69=[14]Legend!$A$70, [14]Legend!$B$70, IF(J69=[14]Legend!$A$71, [14]Legend!$B$71, IF(J69=[14]Legend!$A$72, [14]Legend!$B$72, IF(J69=[14]Legend!$A$73, [14]Legend!$B$73, (IF(J69=[14]Legend!$A$74, [14]Legend!$B$74, IF(J69=[14]Legend!$A$75, [14]Legend!$B$75, "")))))))))))</f>
        <v>5</v>
      </c>
      <c r="L69" s="5">
        <v>0</v>
      </c>
      <c r="M69" s="5">
        <v>0</v>
      </c>
      <c r="N69" s="5"/>
      <c r="O69" s="5"/>
    </row>
    <row r="70" spans="1:15" ht="14" customHeight="1" x14ac:dyDescent="0.45">
      <c r="A70" s="7">
        <v>45567</v>
      </c>
      <c r="B70" s="5" t="s">
        <v>59</v>
      </c>
      <c r="C70" s="5" t="s">
        <v>132</v>
      </c>
      <c r="D70" s="5">
        <v>3</v>
      </c>
      <c r="E70" s="5">
        <v>4</v>
      </c>
      <c r="F70" s="5">
        <v>1</v>
      </c>
      <c r="G70" s="7">
        <v>45714</v>
      </c>
      <c r="H70" s="5" t="s">
        <v>91</v>
      </c>
      <c r="I70" s="5">
        <v>3</v>
      </c>
      <c r="J70" s="5" t="s">
        <v>19</v>
      </c>
      <c r="K70" s="6">
        <f>IF(J70=[14]Legend!$A$67,[14]Legend!$B$67,(IF(J70=[14]Legend!$A$68,[14]Legend!$B$68,IF(J70=[14]Legend!$A$69, [14]Legend!$B$69, IF(J70=[14]Legend!$A$70, [14]Legend!$B$70, IF(J70=[14]Legend!$A$71, [14]Legend!$B$71, IF(J70=[14]Legend!$A$72, [14]Legend!$B$72, IF(J70=[14]Legend!$A$73, [14]Legend!$B$73, (IF(J70=[14]Legend!$A$74, [14]Legend!$B$74, IF(J70=[14]Legend!$A$75, [14]Legend!$B$75, "")))))))))))</f>
        <v>9</v>
      </c>
      <c r="L70" s="5">
        <v>8</v>
      </c>
      <c r="M70" s="5">
        <v>0</v>
      </c>
      <c r="N70" s="5"/>
      <c r="O70" s="5"/>
    </row>
    <row r="71" spans="1:15" ht="14" customHeight="1" x14ac:dyDescent="0.45">
      <c r="A71" s="7">
        <v>45567</v>
      </c>
      <c r="B71" s="5" t="s">
        <v>59</v>
      </c>
      <c r="C71" s="5" t="s">
        <v>132</v>
      </c>
      <c r="D71" s="5">
        <v>3</v>
      </c>
      <c r="E71" s="5">
        <v>4</v>
      </c>
      <c r="F71" s="5">
        <v>2</v>
      </c>
      <c r="G71" s="7">
        <v>45719</v>
      </c>
      <c r="H71" s="5" t="s">
        <v>91</v>
      </c>
      <c r="I71" s="5">
        <v>3</v>
      </c>
      <c r="J71" s="5" t="s">
        <v>60</v>
      </c>
      <c r="K71" s="6">
        <f>IF(J71=[14]Legend!$A$67,[14]Legend!$B$67,(IF(J71=[14]Legend!$A$68,[14]Legend!$B$68,IF(J71=[14]Legend!$A$69, [14]Legend!$B$69, IF(J71=[14]Legend!$A$70, [14]Legend!$B$70, IF(J71=[14]Legend!$A$71, [14]Legend!$B$71, IF(J71=[14]Legend!$A$72, [14]Legend!$B$72, IF(J71=[14]Legend!$A$73, [14]Legend!$B$73, (IF(J71=[14]Legend!$A$74, [14]Legend!$B$74, IF(J71=[14]Legend!$A$75, [14]Legend!$B$75, "")))))))))))</f>
        <v>25</v>
      </c>
      <c r="L71" s="5">
        <v>25</v>
      </c>
      <c r="M71" s="5">
        <v>2</v>
      </c>
      <c r="N71" s="5"/>
      <c r="O71" s="5"/>
    </row>
    <row r="72" spans="1:15" ht="14" customHeight="1" x14ac:dyDescent="0.45">
      <c r="A72" s="7">
        <v>45567</v>
      </c>
      <c r="B72" s="5" t="s">
        <v>59</v>
      </c>
      <c r="C72" s="5" t="s">
        <v>132</v>
      </c>
      <c r="D72" s="5">
        <v>3</v>
      </c>
      <c r="E72" s="5">
        <v>4</v>
      </c>
      <c r="F72" s="5">
        <v>2</v>
      </c>
      <c r="G72" s="7">
        <v>45719</v>
      </c>
      <c r="H72" s="5" t="s">
        <v>91</v>
      </c>
      <c r="I72" s="5">
        <v>3</v>
      </c>
      <c r="J72" s="5" t="s">
        <v>18</v>
      </c>
      <c r="K72" s="6">
        <f>IF(J72=[14]Legend!$A$67,[14]Legend!$B$67,(IF(J72=[14]Legend!$A$68,[14]Legend!$B$68,IF(J72=[14]Legend!$A$69, [14]Legend!$B$69, IF(J72=[14]Legend!$A$70, [14]Legend!$B$70, IF(J72=[14]Legend!$A$71, [14]Legend!$B$71, IF(J72=[14]Legend!$A$72, [14]Legend!$B$72, IF(J72=[14]Legend!$A$73, [14]Legend!$B$73, (IF(J72=[14]Legend!$A$74, [14]Legend!$B$74, IF(J72=[14]Legend!$A$75, [14]Legend!$B$75, "")))))))))))</f>
        <v>5</v>
      </c>
      <c r="L72" s="5">
        <v>5</v>
      </c>
      <c r="M72" s="5">
        <v>0</v>
      </c>
      <c r="N72" s="5"/>
      <c r="O72" s="5"/>
    </row>
    <row r="73" spans="1:15" ht="14" customHeight="1" x14ac:dyDescent="0.45">
      <c r="A73" s="7">
        <v>45567</v>
      </c>
      <c r="B73" s="5" t="s">
        <v>59</v>
      </c>
      <c r="C73" s="5" t="s">
        <v>132</v>
      </c>
      <c r="D73" s="5">
        <v>3</v>
      </c>
      <c r="E73" s="5">
        <v>4</v>
      </c>
      <c r="F73" s="5">
        <v>2</v>
      </c>
      <c r="G73" s="7">
        <v>45719</v>
      </c>
      <c r="H73" s="5" t="s">
        <v>91</v>
      </c>
      <c r="I73" s="5">
        <v>3</v>
      </c>
      <c r="J73" s="5" t="s">
        <v>19</v>
      </c>
      <c r="K73" s="6">
        <f>IF(J73=[14]Legend!$A$67,[14]Legend!$B$67,(IF(J73=[14]Legend!$A$68,[14]Legend!$B$68,IF(J73=[14]Legend!$A$69, [14]Legend!$B$69, IF(J73=[14]Legend!$A$70, [14]Legend!$B$70, IF(J73=[14]Legend!$A$71, [14]Legend!$B$71, IF(J73=[14]Legend!$A$72, [14]Legend!$B$72, IF(J73=[14]Legend!$A$73, [14]Legend!$B$73, (IF(J73=[14]Legend!$A$74, [14]Legend!$B$74, IF(J73=[14]Legend!$A$75, [14]Legend!$B$75, "")))))))))))</f>
        <v>9</v>
      </c>
      <c r="L73" s="5">
        <v>9</v>
      </c>
      <c r="M73" s="5">
        <v>0</v>
      </c>
      <c r="N73" s="5"/>
      <c r="O73" s="5"/>
    </row>
    <row r="74" spans="1:15" ht="14" customHeight="1" x14ac:dyDescent="0.45">
      <c r="A74" s="7">
        <v>45553</v>
      </c>
      <c r="B74" s="5" t="s">
        <v>59</v>
      </c>
      <c r="C74" s="5"/>
      <c r="D74" s="5">
        <v>1</v>
      </c>
      <c r="E74" s="5">
        <v>5</v>
      </c>
      <c r="F74" s="5">
        <v>1</v>
      </c>
      <c r="G74" s="7">
        <v>45587</v>
      </c>
      <c r="H74" s="5" t="s">
        <v>17</v>
      </c>
      <c r="I74" s="5">
        <v>3</v>
      </c>
      <c r="J74" s="5" t="s">
        <v>60</v>
      </c>
      <c r="K74" s="6">
        <f>IF(J74=[1]Legend!$A$66,[1]Legend!$B$66,(IF(J74=[1]Legend!$A$67,[1]Legend!$B$67,IF(J74=[1]Legend!$A$68, [1]Legend!$B$68, IF(J74=[1]Legend!$A$69, [1]Legend!$B$69, IF(J74=[1]Legend!$A$70, [1]Legend!$B$70, IF(J74=[1]Legend!$A$71, [1]Legend!$B$71, IF(J74=[1]Legend!$A$72, [1]Legend!$B$72, (IF(J74=[1]Legend!$A$73, [1]Legend!$B$73, IF(J74=[1]Legend!$A$74, [1]Legend!$B$74, "")))))))))))</f>
        <v>25</v>
      </c>
      <c r="L74" s="5">
        <v>25</v>
      </c>
      <c r="M74" s="5"/>
      <c r="N74" s="5"/>
      <c r="O74" s="5"/>
    </row>
    <row r="75" spans="1:15" ht="14" customHeight="1" x14ac:dyDescent="0.45">
      <c r="A75" s="7">
        <v>45553</v>
      </c>
      <c r="B75" s="5" t="s">
        <v>59</v>
      </c>
      <c r="C75" s="5"/>
      <c r="D75" s="5">
        <v>1</v>
      </c>
      <c r="E75" s="5">
        <v>5</v>
      </c>
      <c r="F75" s="5">
        <v>1</v>
      </c>
      <c r="G75" s="7">
        <v>45587</v>
      </c>
      <c r="H75" s="5" t="s">
        <v>17</v>
      </c>
      <c r="I75" s="5">
        <v>3</v>
      </c>
      <c r="J75" s="5" t="s">
        <v>18</v>
      </c>
      <c r="K75" s="6">
        <f>IF(J75=[1]Legend!$A$66,[1]Legend!$B$66,(IF(J75=[1]Legend!$A$67,[1]Legend!$B$67,IF(J75=[1]Legend!$A$68, [1]Legend!$B$68, IF(J75=[1]Legend!$A$69, [1]Legend!$B$69, IF(J75=[1]Legend!$A$70, [1]Legend!$B$70, IF(J75=[1]Legend!$A$71, [1]Legend!$B$71, IF(J75=[1]Legend!$A$72, [1]Legend!$B$72, (IF(J75=[1]Legend!$A$73, [1]Legend!$B$73, IF(J75=[1]Legend!$A$74, [1]Legend!$B$74, "")))))))))))</f>
        <v>5</v>
      </c>
      <c r="L75" s="5">
        <v>0</v>
      </c>
      <c r="M75" s="5"/>
      <c r="N75" s="5"/>
      <c r="O75" s="5"/>
    </row>
    <row r="76" spans="1:15" ht="14" customHeight="1" x14ac:dyDescent="0.45">
      <c r="A76" s="7">
        <v>45553</v>
      </c>
      <c r="B76" s="5" t="s">
        <v>59</v>
      </c>
      <c r="C76" s="5"/>
      <c r="D76" s="5">
        <v>1</v>
      </c>
      <c r="E76" s="5">
        <v>5</v>
      </c>
      <c r="F76" s="5">
        <v>1</v>
      </c>
      <c r="G76" s="7">
        <v>45587</v>
      </c>
      <c r="H76" s="5" t="s">
        <v>17</v>
      </c>
      <c r="I76" s="5">
        <v>3</v>
      </c>
      <c r="J76" s="5" t="s">
        <v>19</v>
      </c>
      <c r="K76" s="6">
        <f>IF(J76=[1]Legend!$A$66,[1]Legend!$B$66,(IF(J76=[1]Legend!$A$67,[1]Legend!$B$67,IF(J76=[1]Legend!$A$68, [1]Legend!$B$68, IF(J76=[1]Legend!$A$69, [1]Legend!$B$69, IF(J76=[1]Legend!$A$70, [1]Legend!$B$70, IF(J76=[1]Legend!$A$71, [1]Legend!$B$71, IF(J76=[1]Legend!$A$72, [1]Legend!$B$72, (IF(J76=[1]Legend!$A$73, [1]Legend!$B$73, IF(J76=[1]Legend!$A$74, [1]Legend!$B$74, "")))))))))))</f>
        <v>9</v>
      </c>
      <c r="L76" s="5">
        <v>9</v>
      </c>
      <c r="M76" s="5">
        <v>2</v>
      </c>
      <c r="N76" s="5" t="s">
        <v>21</v>
      </c>
      <c r="O76" s="5"/>
    </row>
    <row r="77" spans="1:15" ht="14" customHeight="1" x14ac:dyDescent="0.45">
      <c r="A77" s="7">
        <v>45553</v>
      </c>
      <c r="B77" s="5" t="s">
        <v>59</v>
      </c>
      <c r="C77" s="5"/>
      <c r="D77" s="5">
        <v>1</v>
      </c>
      <c r="E77" s="5">
        <v>5</v>
      </c>
      <c r="F77" s="5">
        <v>2</v>
      </c>
      <c r="G77" s="7">
        <v>45587</v>
      </c>
      <c r="H77" s="5" t="s">
        <v>17</v>
      </c>
      <c r="I77" s="5">
        <v>3</v>
      </c>
      <c r="J77" s="5" t="s">
        <v>60</v>
      </c>
      <c r="K77" s="6">
        <f>IF(J77=[1]Legend!$A$66,[1]Legend!$B$66,(IF(J77=[1]Legend!$A$67,[1]Legend!$B$67,IF(J77=[1]Legend!$A$68, [1]Legend!$B$68, IF(J77=[1]Legend!$A$69, [1]Legend!$B$69, IF(J77=[1]Legend!$A$70, [1]Legend!$B$70, IF(J77=[1]Legend!$A$71, [1]Legend!$B$71, IF(J77=[1]Legend!$A$72, [1]Legend!$B$72, (IF(J77=[1]Legend!$A$73, [1]Legend!$B$73, IF(J77=[1]Legend!$A$74, [1]Legend!$B$74, "")))))))))))</f>
        <v>25</v>
      </c>
      <c r="L77" s="5">
        <v>17</v>
      </c>
      <c r="M77" s="5"/>
      <c r="N77" s="5"/>
      <c r="O77" s="5"/>
    </row>
    <row r="78" spans="1:15" ht="14" customHeight="1" x14ac:dyDescent="0.45">
      <c r="A78" s="7">
        <v>45553</v>
      </c>
      <c r="B78" s="5" t="s">
        <v>59</v>
      </c>
      <c r="C78" s="5"/>
      <c r="D78" s="5">
        <v>1</v>
      </c>
      <c r="E78" s="5">
        <v>5</v>
      </c>
      <c r="F78" s="5">
        <v>2</v>
      </c>
      <c r="G78" s="7">
        <v>45587</v>
      </c>
      <c r="H78" s="5" t="s">
        <v>17</v>
      </c>
      <c r="I78" s="5">
        <v>3</v>
      </c>
      <c r="J78" s="5" t="s">
        <v>18</v>
      </c>
      <c r="K78" s="6">
        <f>IF(J78=[1]Legend!$A$66,[1]Legend!$B$66,(IF(J78=[1]Legend!$A$67,[1]Legend!$B$67,IF(J78=[1]Legend!$A$68, [1]Legend!$B$68, IF(J78=[1]Legend!$A$69, [1]Legend!$B$69, IF(J78=[1]Legend!$A$70, [1]Legend!$B$70, IF(J78=[1]Legend!$A$71, [1]Legend!$B$71, IF(J78=[1]Legend!$A$72, [1]Legend!$B$72, (IF(J78=[1]Legend!$A$73, [1]Legend!$B$73, IF(J78=[1]Legend!$A$74, [1]Legend!$B$74, "")))))))))))</f>
        <v>5</v>
      </c>
      <c r="L78" s="5">
        <v>3</v>
      </c>
      <c r="M78" s="5"/>
      <c r="N78" s="5"/>
      <c r="O78" s="5"/>
    </row>
    <row r="79" spans="1:15" ht="14" customHeight="1" x14ac:dyDescent="0.45">
      <c r="A79" s="7">
        <v>45553</v>
      </c>
      <c r="B79" s="5" t="s">
        <v>59</v>
      </c>
      <c r="C79" s="5"/>
      <c r="D79" s="5">
        <v>1</v>
      </c>
      <c r="E79" s="5">
        <v>5</v>
      </c>
      <c r="F79" s="5">
        <v>2</v>
      </c>
      <c r="G79" s="7">
        <v>45587</v>
      </c>
      <c r="H79" s="5" t="s">
        <v>17</v>
      </c>
      <c r="I79" s="5">
        <v>3</v>
      </c>
      <c r="J79" s="5" t="s">
        <v>19</v>
      </c>
      <c r="K79" s="6">
        <f>IF(J79=[1]Legend!$A$66,[1]Legend!$B$66,(IF(J79=[1]Legend!$A$67,[1]Legend!$B$67,IF(J79=[1]Legend!$A$68, [1]Legend!$B$68, IF(J79=[1]Legend!$A$69, [1]Legend!$B$69, IF(J79=[1]Legend!$A$70, [1]Legend!$B$70, IF(J79=[1]Legend!$A$71, [1]Legend!$B$71, IF(J79=[1]Legend!$A$72, [1]Legend!$B$72, (IF(J79=[1]Legend!$A$73, [1]Legend!$B$73, IF(J79=[1]Legend!$A$74, [1]Legend!$B$74, "")))))))))))</f>
        <v>9</v>
      </c>
      <c r="L79" s="5">
        <v>5</v>
      </c>
      <c r="M79" s="5"/>
      <c r="N79" s="5"/>
      <c r="O79" s="5"/>
    </row>
    <row r="80" spans="1:15" ht="14" customHeight="1" x14ac:dyDescent="0.45">
      <c r="A80" s="7">
        <v>45560</v>
      </c>
      <c r="B80" s="5" t="s">
        <v>59</v>
      </c>
      <c r="C80" s="5" t="s">
        <v>16</v>
      </c>
      <c r="D80" s="5">
        <v>2</v>
      </c>
      <c r="E80" s="5">
        <v>5</v>
      </c>
      <c r="F80" s="5">
        <v>1</v>
      </c>
      <c r="G80" s="7">
        <v>45561</v>
      </c>
      <c r="H80" s="5" t="s">
        <v>108</v>
      </c>
      <c r="I80" s="5">
        <v>3</v>
      </c>
      <c r="J80" s="5" t="s">
        <v>60</v>
      </c>
      <c r="K80" s="6">
        <f>IF(J80=[7]Legend!$A$66,[7]Legend!$B$66,(IF(J80=[7]Legend!$A$67,[7]Legend!$B$67,IF(J80=[7]Legend!$A$68, [7]Legend!$B$68, IF(J80=[7]Legend!$A$69, [7]Legend!$B$69, IF(J80=[7]Legend!$A$70, [7]Legend!$B$70, IF(J80=[7]Legend!$A$71, [7]Legend!$B$71, IF(J80=[7]Legend!$A$72, [7]Legend!$B$72, (IF(J80=[7]Legend!$A$73, [7]Legend!$B$73, IF(J80=[7]Legend!$A$74, [7]Legend!$B$74, "")))))))))))</f>
        <v>25</v>
      </c>
      <c r="L80" s="5">
        <v>0</v>
      </c>
      <c r="M80" s="5"/>
      <c r="N80" s="5"/>
      <c r="O80" s="5"/>
    </row>
    <row r="81" spans="1:15" ht="14" customHeight="1" x14ac:dyDescent="0.45">
      <c r="A81" s="7">
        <v>45560</v>
      </c>
      <c r="B81" s="5" t="s">
        <v>59</v>
      </c>
      <c r="C81" s="5" t="s">
        <v>16</v>
      </c>
      <c r="D81" s="5">
        <v>2</v>
      </c>
      <c r="E81" s="5">
        <v>5</v>
      </c>
      <c r="F81" s="5">
        <v>1</v>
      </c>
      <c r="G81" s="7">
        <v>45561</v>
      </c>
      <c r="H81" s="5" t="s">
        <v>108</v>
      </c>
      <c r="I81" s="5">
        <v>3</v>
      </c>
      <c r="J81" s="5" t="s">
        <v>18</v>
      </c>
      <c r="K81" s="6">
        <f>IF(J81=[7]Legend!$A$66,[7]Legend!$B$66,(IF(J81=[7]Legend!$A$67,[7]Legend!$B$67,IF(J81=[7]Legend!$A$68, [7]Legend!$B$68, IF(J81=[7]Legend!$A$69, [7]Legend!$B$69, IF(J81=[7]Legend!$A$70, [7]Legend!$B$70, IF(J81=[7]Legend!$A$71, [7]Legend!$B$71, IF(J81=[7]Legend!$A$72, [7]Legend!$B$72, (IF(J81=[7]Legend!$A$73, [7]Legend!$B$73, IF(J81=[7]Legend!$A$74, [7]Legend!$B$74, "")))))))))))</f>
        <v>5</v>
      </c>
      <c r="L81" s="5">
        <v>0</v>
      </c>
      <c r="M81" s="5"/>
      <c r="N81" s="5"/>
      <c r="O81" s="5"/>
    </row>
    <row r="82" spans="1:15" ht="14" customHeight="1" x14ac:dyDescent="0.45">
      <c r="A82" s="7">
        <v>45560</v>
      </c>
      <c r="B82" s="5" t="s">
        <v>59</v>
      </c>
      <c r="C82" s="5" t="s">
        <v>16</v>
      </c>
      <c r="D82" s="5">
        <v>2</v>
      </c>
      <c r="E82" s="5">
        <v>5</v>
      </c>
      <c r="F82" s="5">
        <v>1</v>
      </c>
      <c r="G82" s="7">
        <v>45561</v>
      </c>
      <c r="H82" s="5" t="s">
        <v>108</v>
      </c>
      <c r="I82" s="5">
        <v>3</v>
      </c>
      <c r="J82" s="5" t="s">
        <v>19</v>
      </c>
      <c r="K82" s="6">
        <f>IF(J82=[7]Legend!$A$66,[7]Legend!$B$66,(IF(J82=[7]Legend!$A$67,[7]Legend!$B$67,IF(J82=[7]Legend!$A$68, [7]Legend!$B$68, IF(J82=[7]Legend!$A$69, [7]Legend!$B$69, IF(J82=[7]Legend!$A$70, [7]Legend!$B$70, IF(J82=[7]Legend!$A$71, [7]Legend!$B$71, IF(J82=[7]Legend!$A$72, [7]Legend!$B$72, (IF(J82=[7]Legend!$A$73, [7]Legend!$B$73, IF(J82=[7]Legend!$A$74, [7]Legend!$B$74, "")))))))))))</f>
        <v>9</v>
      </c>
      <c r="L82" s="5">
        <v>1</v>
      </c>
      <c r="M82" s="5"/>
      <c r="N82" s="5"/>
      <c r="O82" s="5"/>
    </row>
    <row r="83" spans="1:15" ht="14" customHeight="1" x14ac:dyDescent="0.45">
      <c r="A83" s="7">
        <v>45560</v>
      </c>
      <c r="B83" s="5" t="s">
        <v>59</v>
      </c>
      <c r="C83" s="5" t="s">
        <v>16</v>
      </c>
      <c r="D83" s="5">
        <v>2</v>
      </c>
      <c r="E83" s="5">
        <v>5</v>
      </c>
      <c r="F83" s="5">
        <v>2</v>
      </c>
      <c r="G83" s="7">
        <v>45561</v>
      </c>
      <c r="H83" s="5" t="s">
        <v>108</v>
      </c>
      <c r="I83" s="5">
        <v>3</v>
      </c>
      <c r="J83" s="5" t="s">
        <v>60</v>
      </c>
      <c r="K83" s="6">
        <f>IF(J83=[7]Legend!$A$66,[7]Legend!$B$66,(IF(J83=[7]Legend!$A$67,[7]Legend!$B$67,IF(J83=[7]Legend!$A$68, [7]Legend!$B$68, IF(J83=[7]Legend!$A$69, [7]Legend!$B$69, IF(J83=[7]Legend!$A$70, [7]Legend!$B$70, IF(J83=[7]Legend!$A$71, [7]Legend!$B$71, IF(J83=[7]Legend!$A$72, [7]Legend!$B$72, (IF(J83=[7]Legend!$A$73, [7]Legend!$B$73, IF(J83=[7]Legend!$A$74, [7]Legend!$B$74, "")))))))))))</f>
        <v>25</v>
      </c>
      <c r="L83" s="5">
        <v>25</v>
      </c>
      <c r="M83" s="5"/>
      <c r="N83" s="5"/>
      <c r="O83" s="5"/>
    </row>
    <row r="84" spans="1:15" ht="14" customHeight="1" x14ac:dyDescent="0.45">
      <c r="A84" s="7">
        <v>45560</v>
      </c>
      <c r="B84" s="5" t="s">
        <v>59</v>
      </c>
      <c r="C84" s="5" t="s">
        <v>16</v>
      </c>
      <c r="D84" s="5">
        <v>2</v>
      </c>
      <c r="E84" s="5">
        <v>5</v>
      </c>
      <c r="F84" s="5">
        <v>2</v>
      </c>
      <c r="G84" s="7">
        <v>45561</v>
      </c>
      <c r="H84" s="5" t="s">
        <v>108</v>
      </c>
      <c r="I84" s="5">
        <v>3</v>
      </c>
      <c r="J84" s="5" t="s">
        <v>18</v>
      </c>
      <c r="K84" s="6">
        <f>IF(J84=[7]Legend!$A$66,[7]Legend!$B$66,(IF(J84=[7]Legend!$A$67,[7]Legend!$B$67,IF(J84=[7]Legend!$A$68, [7]Legend!$B$68, IF(J84=[7]Legend!$A$69, [7]Legend!$B$69, IF(J84=[7]Legend!$A$70, [7]Legend!$B$70, IF(J84=[7]Legend!$A$71, [7]Legend!$B$71, IF(J84=[7]Legend!$A$72, [7]Legend!$B$72, (IF(J84=[7]Legend!$A$73, [7]Legend!$B$73, IF(J84=[7]Legend!$A$74, [7]Legend!$B$74, "")))))))))))</f>
        <v>5</v>
      </c>
      <c r="L84" s="5">
        <v>5</v>
      </c>
      <c r="M84" s="5"/>
      <c r="N84" s="5"/>
      <c r="O84" s="5"/>
    </row>
    <row r="85" spans="1:15" ht="14" customHeight="1" x14ac:dyDescent="0.45">
      <c r="A85" s="7">
        <v>45560</v>
      </c>
      <c r="B85" s="5" t="s">
        <v>59</v>
      </c>
      <c r="C85" s="5" t="s">
        <v>16</v>
      </c>
      <c r="D85" s="5">
        <v>2</v>
      </c>
      <c r="E85" s="5">
        <v>5</v>
      </c>
      <c r="F85" s="5">
        <v>2</v>
      </c>
      <c r="G85" s="7">
        <v>45561</v>
      </c>
      <c r="H85" s="5" t="s">
        <v>108</v>
      </c>
      <c r="I85" s="5">
        <v>3</v>
      </c>
      <c r="J85" s="5" t="s">
        <v>19</v>
      </c>
      <c r="K85" s="6">
        <f>IF(J85=[7]Legend!$A$66,[7]Legend!$B$66,(IF(J85=[7]Legend!$A$67,[7]Legend!$B$67,IF(J85=[7]Legend!$A$68, [7]Legend!$B$68, IF(J85=[7]Legend!$A$69, [7]Legend!$B$69, IF(J85=[7]Legend!$A$70, [7]Legend!$B$70, IF(J85=[7]Legend!$A$71, [7]Legend!$B$71, IF(J85=[7]Legend!$A$72, [7]Legend!$B$72, (IF(J85=[7]Legend!$A$73, [7]Legend!$B$73, IF(J85=[7]Legend!$A$74, [7]Legend!$B$74, "")))))))))))</f>
        <v>9</v>
      </c>
      <c r="L85" s="5">
        <v>9</v>
      </c>
      <c r="M85" s="5">
        <v>2</v>
      </c>
      <c r="N85" s="5" t="s">
        <v>21</v>
      </c>
      <c r="O85" s="5"/>
    </row>
    <row r="86" spans="1:15" ht="14" customHeight="1" x14ac:dyDescent="0.45">
      <c r="A86" s="7">
        <v>45567</v>
      </c>
      <c r="B86" s="5" t="s">
        <v>59</v>
      </c>
      <c r="C86" s="5" t="s">
        <v>132</v>
      </c>
      <c r="D86" s="5">
        <v>3</v>
      </c>
      <c r="E86" s="5">
        <v>5</v>
      </c>
      <c r="F86" s="5">
        <v>1</v>
      </c>
      <c r="G86" s="7">
        <v>45719</v>
      </c>
      <c r="H86" s="5" t="s">
        <v>91</v>
      </c>
      <c r="I86" s="5">
        <v>3</v>
      </c>
      <c r="J86" s="5" t="s">
        <v>60</v>
      </c>
      <c r="K86" s="6">
        <f>IF(J86=[14]Legend!$A$67,[14]Legend!$B$67,(IF(J86=[14]Legend!$A$68,[14]Legend!$B$68,IF(J86=[14]Legend!$A$69, [14]Legend!$B$69, IF(J86=[14]Legend!$A$70, [14]Legend!$B$70, IF(J86=[14]Legend!$A$71, [14]Legend!$B$71, IF(J86=[14]Legend!$A$72, [14]Legend!$B$72, IF(J86=[14]Legend!$A$73, [14]Legend!$B$73, (IF(J86=[14]Legend!$A$74, [14]Legend!$B$74, IF(J86=[14]Legend!$A$75, [14]Legend!$B$75, "")))))))))))</f>
        <v>25</v>
      </c>
      <c r="L86" s="5">
        <v>22</v>
      </c>
      <c r="M86" s="5">
        <v>0</v>
      </c>
      <c r="N86" s="5"/>
      <c r="O86" s="5"/>
    </row>
    <row r="87" spans="1:15" ht="14" customHeight="1" x14ac:dyDescent="0.45">
      <c r="A87" s="7">
        <v>45567</v>
      </c>
      <c r="B87" s="5" t="s">
        <v>59</v>
      </c>
      <c r="C87" s="5" t="s">
        <v>132</v>
      </c>
      <c r="D87" s="5">
        <v>3</v>
      </c>
      <c r="E87" s="5">
        <v>5</v>
      </c>
      <c r="F87" s="5">
        <v>1</v>
      </c>
      <c r="G87" s="7">
        <v>45719</v>
      </c>
      <c r="H87" s="5" t="s">
        <v>91</v>
      </c>
      <c r="I87" s="5">
        <v>3</v>
      </c>
      <c r="J87" s="5" t="s">
        <v>18</v>
      </c>
      <c r="K87" s="6">
        <f>IF(J87=[14]Legend!$A$67,[14]Legend!$B$67,(IF(J87=[14]Legend!$A$68,[14]Legend!$B$68,IF(J87=[14]Legend!$A$69, [14]Legend!$B$69, IF(J87=[14]Legend!$A$70, [14]Legend!$B$70, IF(J87=[14]Legend!$A$71, [14]Legend!$B$71, IF(J87=[14]Legend!$A$72, [14]Legend!$B$72, IF(J87=[14]Legend!$A$73, [14]Legend!$B$73, (IF(J87=[14]Legend!$A$74, [14]Legend!$B$74, IF(J87=[14]Legend!$A$75, [14]Legend!$B$75, "")))))))))))</f>
        <v>5</v>
      </c>
      <c r="L87" s="5">
        <v>0</v>
      </c>
      <c r="M87" s="5">
        <v>0</v>
      </c>
      <c r="N87" s="5"/>
      <c r="O87" s="5"/>
    </row>
    <row r="88" spans="1:15" ht="14" customHeight="1" x14ac:dyDescent="0.45">
      <c r="A88" s="7">
        <v>45567</v>
      </c>
      <c r="B88" s="5" t="s">
        <v>59</v>
      </c>
      <c r="C88" s="5" t="s">
        <v>132</v>
      </c>
      <c r="D88" s="5">
        <v>3</v>
      </c>
      <c r="E88" s="5">
        <v>5</v>
      </c>
      <c r="F88" s="5">
        <v>1</v>
      </c>
      <c r="G88" s="7">
        <v>45719</v>
      </c>
      <c r="H88" s="5" t="s">
        <v>91</v>
      </c>
      <c r="I88" s="5">
        <v>3</v>
      </c>
      <c r="J88" s="5" t="s">
        <v>19</v>
      </c>
      <c r="K88" s="6">
        <f>IF(J88=[14]Legend!$A$67,[14]Legend!$B$67,(IF(J88=[14]Legend!$A$68,[14]Legend!$B$68,IF(J88=[14]Legend!$A$69, [14]Legend!$B$69, IF(J88=[14]Legend!$A$70, [14]Legend!$B$70, IF(J88=[14]Legend!$A$71, [14]Legend!$B$71, IF(J88=[14]Legend!$A$72, [14]Legend!$B$72, IF(J88=[14]Legend!$A$73, [14]Legend!$B$73, (IF(J88=[14]Legend!$A$74, [14]Legend!$B$74, IF(J88=[14]Legend!$A$75, [14]Legend!$B$75, "")))))))))))</f>
        <v>9</v>
      </c>
      <c r="L88" s="5">
        <v>5</v>
      </c>
      <c r="M88" s="5">
        <v>0</v>
      </c>
      <c r="N88" s="5"/>
      <c r="O88" s="5"/>
    </row>
    <row r="89" spans="1:15" ht="14" customHeight="1" x14ac:dyDescent="0.45">
      <c r="A89" s="7">
        <v>45567</v>
      </c>
      <c r="B89" s="5" t="s">
        <v>59</v>
      </c>
      <c r="C89" s="5" t="s">
        <v>132</v>
      </c>
      <c r="D89" s="5">
        <v>3</v>
      </c>
      <c r="E89" s="5">
        <v>5</v>
      </c>
      <c r="F89" s="5">
        <v>2</v>
      </c>
      <c r="G89" s="7">
        <v>45719</v>
      </c>
      <c r="H89" s="5" t="s">
        <v>91</v>
      </c>
      <c r="I89" s="5">
        <v>3</v>
      </c>
      <c r="J89" s="5" t="s">
        <v>60</v>
      </c>
      <c r="K89" s="6">
        <f>IF(J89=[14]Legend!$A$67,[14]Legend!$B$67,(IF(J89=[14]Legend!$A$68,[14]Legend!$B$68,IF(J89=[14]Legend!$A$69, [14]Legend!$B$69, IF(J89=[14]Legend!$A$70, [14]Legend!$B$70, IF(J89=[14]Legend!$A$71, [14]Legend!$B$71, IF(J89=[14]Legend!$A$72, [14]Legend!$B$72, IF(J89=[14]Legend!$A$73, [14]Legend!$B$73, (IF(J89=[14]Legend!$A$74, [14]Legend!$B$74, IF(J89=[14]Legend!$A$75, [14]Legend!$B$75, "")))))))))))</f>
        <v>25</v>
      </c>
      <c r="L89" s="5">
        <v>25</v>
      </c>
      <c r="M89" s="5">
        <v>1</v>
      </c>
      <c r="N89" s="5" t="s">
        <v>30</v>
      </c>
      <c r="O89" s="5"/>
    </row>
    <row r="90" spans="1:15" ht="14" customHeight="1" x14ac:dyDescent="0.45">
      <c r="A90" s="7">
        <v>45567</v>
      </c>
      <c r="B90" s="5" t="s">
        <v>59</v>
      </c>
      <c r="C90" s="5" t="s">
        <v>132</v>
      </c>
      <c r="D90" s="5">
        <v>3</v>
      </c>
      <c r="E90" s="5">
        <v>5</v>
      </c>
      <c r="F90" s="5">
        <v>2</v>
      </c>
      <c r="G90" s="7">
        <v>45719</v>
      </c>
      <c r="H90" s="5" t="s">
        <v>91</v>
      </c>
      <c r="I90" s="5">
        <v>3</v>
      </c>
      <c r="J90" s="5" t="s">
        <v>18</v>
      </c>
      <c r="K90" s="6">
        <f>IF(J90=[14]Legend!$A$67,[14]Legend!$B$67,(IF(J90=[14]Legend!$A$68,[14]Legend!$B$68,IF(J90=[14]Legend!$A$69, [14]Legend!$B$69, IF(J90=[14]Legend!$A$70, [14]Legend!$B$70, IF(J90=[14]Legend!$A$71, [14]Legend!$B$71, IF(J90=[14]Legend!$A$72, [14]Legend!$B$72, IF(J90=[14]Legend!$A$73, [14]Legend!$B$73, (IF(J90=[14]Legend!$A$74, [14]Legend!$B$74, IF(J90=[14]Legend!$A$75, [14]Legend!$B$75, "")))))))))))</f>
        <v>5</v>
      </c>
      <c r="L90" s="5">
        <v>5</v>
      </c>
      <c r="M90" s="5">
        <v>0</v>
      </c>
      <c r="N90" s="5"/>
      <c r="O90" s="5"/>
    </row>
    <row r="91" spans="1:15" ht="14" customHeight="1" x14ac:dyDescent="0.45">
      <c r="A91" s="7">
        <v>45567</v>
      </c>
      <c r="B91" s="5" t="s">
        <v>59</v>
      </c>
      <c r="C91" s="5" t="s">
        <v>132</v>
      </c>
      <c r="D91" s="5">
        <v>3</v>
      </c>
      <c r="E91" s="5">
        <v>5</v>
      </c>
      <c r="F91" s="5">
        <v>2</v>
      </c>
      <c r="G91" s="7">
        <v>45719</v>
      </c>
      <c r="H91" s="5" t="s">
        <v>91</v>
      </c>
      <c r="I91" s="5">
        <v>3</v>
      </c>
      <c r="J91" s="5" t="s">
        <v>19</v>
      </c>
      <c r="K91" s="6">
        <f>IF(J91=[14]Legend!$A$67,[14]Legend!$B$67,(IF(J91=[14]Legend!$A$68,[14]Legend!$B$68,IF(J91=[14]Legend!$A$69, [14]Legend!$B$69, IF(J91=[14]Legend!$A$70, [14]Legend!$B$70, IF(J91=[14]Legend!$A$71, [14]Legend!$B$71, IF(J91=[14]Legend!$A$72, [14]Legend!$B$72, IF(J91=[14]Legend!$A$73, [14]Legend!$B$73, (IF(J91=[14]Legend!$A$74, [14]Legend!$B$74, IF(J91=[14]Legend!$A$75, [14]Legend!$B$75, "")))))))))))</f>
        <v>9</v>
      </c>
      <c r="L91" s="5">
        <v>9</v>
      </c>
      <c r="M91" s="5">
        <v>0</v>
      </c>
      <c r="N91" s="5"/>
      <c r="O91" s="5"/>
    </row>
    <row r="92" spans="1:15" ht="14" customHeight="1" x14ac:dyDescent="0.45">
      <c r="A92" s="7">
        <v>45553</v>
      </c>
      <c r="B92" s="5" t="s">
        <v>59</v>
      </c>
      <c r="C92" s="5"/>
      <c r="D92" s="5">
        <v>1</v>
      </c>
      <c r="E92" s="5">
        <v>6</v>
      </c>
      <c r="F92" s="5">
        <v>1</v>
      </c>
      <c r="G92" s="7">
        <v>45587</v>
      </c>
      <c r="H92" s="5" t="s">
        <v>17</v>
      </c>
      <c r="I92" s="5">
        <v>3</v>
      </c>
      <c r="J92" s="5" t="s">
        <v>60</v>
      </c>
      <c r="K92" s="6">
        <f>IF(J92=[1]Legend!$A$66,[1]Legend!$B$66,(IF(J92=[1]Legend!$A$67,[1]Legend!$B$67,IF(J92=[1]Legend!$A$68, [1]Legend!$B$68, IF(J92=[1]Legend!$A$69, [1]Legend!$B$69, IF(J92=[1]Legend!$A$70, [1]Legend!$B$70, IF(J92=[1]Legend!$A$71, [1]Legend!$B$71, IF(J92=[1]Legend!$A$72, [1]Legend!$B$72, (IF(J92=[1]Legend!$A$73, [1]Legend!$B$73, IF(J92=[1]Legend!$A$74, [1]Legend!$B$74, "")))))))))))</f>
        <v>25</v>
      </c>
      <c r="L92" s="5">
        <v>25</v>
      </c>
      <c r="M92" s="5">
        <v>1</v>
      </c>
      <c r="N92" s="5" t="s">
        <v>30</v>
      </c>
      <c r="O92" s="5" t="s">
        <v>61</v>
      </c>
    </row>
    <row r="93" spans="1:15" ht="14" customHeight="1" x14ac:dyDescent="0.45">
      <c r="A93" s="7">
        <v>45553</v>
      </c>
      <c r="B93" s="5" t="s">
        <v>59</v>
      </c>
      <c r="C93" s="5"/>
      <c r="D93" s="5">
        <v>1</v>
      </c>
      <c r="E93" s="5">
        <v>6</v>
      </c>
      <c r="F93" s="5">
        <v>1</v>
      </c>
      <c r="G93" s="7">
        <v>45587</v>
      </c>
      <c r="H93" s="5" t="s">
        <v>17</v>
      </c>
      <c r="I93" s="5">
        <v>3</v>
      </c>
      <c r="J93" s="5" t="s">
        <v>18</v>
      </c>
      <c r="K93" s="6">
        <f>IF(J93=[1]Legend!$A$66,[1]Legend!$B$66,(IF(J93=[1]Legend!$A$67,[1]Legend!$B$67,IF(J93=[1]Legend!$A$68, [1]Legend!$B$68, IF(J93=[1]Legend!$A$69, [1]Legend!$B$69, IF(J93=[1]Legend!$A$70, [1]Legend!$B$70, IF(J93=[1]Legend!$A$71, [1]Legend!$B$71, IF(J93=[1]Legend!$A$72, [1]Legend!$B$72, (IF(J93=[1]Legend!$A$73, [1]Legend!$B$73, IF(J93=[1]Legend!$A$74, [1]Legend!$B$74, "")))))))))))</f>
        <v>5</v>
      </c>
      <c r="L93" s="5">
        <v>5</v>
      </c>
      <c r="M93" s="5"/>
      <c r="N93" s="5"/>
      <c r="O93" s="5"/>
    </row>
    <row r="94" spans="1:15" ht="14" customHeight="1" x14ac:dyDescent="0.45">
      <c r="A94" s="7">
        <v>45553</v>
      </c>
      <c r="B94" s="5" t="s">
        <v>59</v>
      </c>
      <c r="C94" s="5"/>
      <c r="D94" s="5">
        <v>1</v>
      </c>
      <c r="E94" s="5">
        <v>6</v>
      </c>
      <c r="F94" s="5">
        <v>1</v>
      </c>
      <c r="G94" s="7">
        <v>45587</v>
      </c>
      <c r="H94" s="5" t="s">
        <v>17</v>
      </c>
      <c r="I94" s="5">
        <v>3</v>
      </c>
      <c r="J94" s="5" t="s">
        <v>19</v>
      </c>
      <c r="K94" s="6">
        <f>IF(J94=[1]Legend!$A$66,[1]Legend!$B$66,(IF(J94=[1]Legend!$A$67,[1]Legend!$B$67,IF(J94=[1]Legend!$A$68, [1]Legend!$B$68, IF(J94=[1]Legend!$A$69, [1]Legend!$B$69, IF(J94=[1]Legend!$A$70, [1]Legend!$B$70, IF(J94=[1]Legend!$A$71, [1]Legend!$B$71, IF(J94=[1]Legend!$A$72, [1]Legend!$B$72, (IF(J94=[1]Legend!$A$73, [1]Legend!$B$73, IF(J94=[1]Legend!$A$74, [1]Legend!$B$74, "")))))))))))</f>
        <v>9</v>
      </c>
      <c r="L94" s="5">
        <v>9</v>
      </c>
      <c r="M94" s="5">
        <v>1</v>
      </c>
      <c r="N94" s="5" t="s">
        <v>21</v>
      </c>
      <c r="O94" s="5"/>
    </row>
    <row r="95" spans="1:15" ht="14" customHeight="1" x14ac:dyDescent="0.45">
      <c r="A95" s="7">
        <v>45553</v>
      </c>
      <c r="B95" s="5" t="s">
        <v>59</v>
      </c>
      <c r="C95" s="5"/>
      <c r="D95" s="5">
        <v>1</v>
      </c>
      <c r="E95" s="5">
        <v>6</v>
      </c>
      <c r="F95" s="5">
        <v>2</v>
      </c>
      <c r="G95" s="7">
        <v>45587</v>
      </c>
      <c r="H95" s="5" t="s">
        <v>17</v>
      </c>
      <c r="I95" s="5">
        <v>3</v>
      </c>
      <c r="J95" s="5" t="s">
        <v>60</v>
      </c>
      <c r="K95" s="6">
        <f>IF(J95=[1]Legend!$A$66,[1]Legend!$B$66,(IF(J95=[1]Legend!$A$67,[1]Legend!$B$67,IF(J95=[1]Legend!$A$68, [1]Legend!$B$68, IF(J95=[1]Legend!$A$69, [1]Legend!$B$69, IF(J95=[1]Legend!$A$70, [1]Legend!$B$70, IF(J95=[1]Legend!$A$71, [1]Legend!$B$71, IF(J95=[1]Legend!$A$72, [1]Legend!$B$72, (IF(J95=[1]Legend!$A$73, [1]Legend!$B$73, IF(J95=[1]Legend!$A$74, [1]Legend!$B$74, "")))))))))))</f>
        <v>25</v>
      </c>
      <c r="L95" s="5">
        <v>25</v>
      </c>
      <c r="M95" s="5"/>
      <c r="N95" s="5"/>
      <c r="O95" s="5"/>
    </row>
    <row r="96" spans="1:15" ht="14" customHeight="1" x14ac:dyDescent="0.45">
      <c r="A96" s="7">
        <v>45553</v>
      </c>
      <c r="B96" s="5" t="s">
        <v>59</v>
      </c>
      <c r="C96" s="5"/>
      <c r="D96" s="5">
        <v>1</v>
      </c>
      <c r="E96" s="5">
        <v>6</v>
      </c>
      <c r="F96" s="5">
        <v>2</v>
      </c>
      <c r="G96" s="7">
        <v>45587</v>
      </c>
      <c r="H96" s="5" t="s">
        <v>17</v>
      </c>
      <c r="I96" s="5">
        <v>3</v>
      </c>
      <c r="J96" s="5" t="s">
        <v>18</v>
      </c>
      <c r="K96" s="6">
        <f>IF(J96=[1]Legend!$A$66,[1]Legend!$B$66,(IF(J96=[1]Legend!$A$67,[1]Legend!$B$67,IF(J96=[1]Legend!$A$68, [1]Legend!$B$68, IF(J96=[1]Legend!$A$69, [1]Legend!$B$69, IF(J96=[1]Legend!$A$70, [1]Legend!$B$70, IF(J96=[1]Legend!$A$71, [1]Legend!$B$71, IF(J96=[1]Legend!$A$72, [1]Legend!$B$72, (IF(J96=[1]Legend!$A$73, [1]Legend!$B$73, IF(J96=[1]Legend!$A$74, [1]Legend!$B$74, "")))))))))))</f>
        <v>5</v>
      </c>
      <c r="L96" s="5">
        <v>5</v>
      </c>
      <c r="M96" s="5"/>
      <c r="N96" s="5"/>
      <c r="O96" s="5"/>
    </row>
    <row r="97" spans="1:15" ht="14" customHeight="1" x14ac:dyDescent="0.45">
      <c r="A97" s="7">
        <v>45553</v>
      </c>
      <c r="B97" s="5" t="s">
        <v>59</v>
      </c>
      <c r="C97" s="5"/>
      <c r="D97" s="5">
        <v>1</v>
      </c>
      <c r="E97" s="5">
        <v>6</v>
      </c>
      <c r="F97" s="5">
        <v>2</v>
      </c>
      <c r="G97" s="7">
        <v>45587</v>
      </c>
      <c r="H97" s="5" t="s">
        <v>17</v>
      </c>
      <c r="I97" s="5">
        <v>3</v>
      </c>
      <c r="J97" s="5" t="s">
        <v>19</v>
      </c>
      <c r="K97" s="6">
        <f>IF(J97=[1]Legend!$A$66,[1]Legend!$B$66,(IF(J97=[1]Legend!$A$67,[1]Legend!$B$67,IF(J97=[1]Legend!$A$68, [1]Legend!$B$68, IF(J97=[1]Legend!$A$69, [1]Legend!$B$69, IF(J97=[1]Legend!$A$70, [1]Legend!$B$70, IF(J97=[1]Legend!$A$71, [1]Legend!$B$71, IF(J97=[1]Legend!$A$72, [1]Legend!$B$72, (IF(J97=[1]Legend!$A$73, [1]Legend!$B$73, IF(J97=[1]Legend!$A$74, [1]Legend!$B$74, "")))))))))))</f>
        <v>9</v>
      </c>
      <c r="L97" s="5">
        <v>9</v>
      </c>
      <c r="M97" s="5">
        <v>2</v>
      </c>
      <c r="N97" s="5" t="s">
        <v>21</v>
      </c>
      <c r="O97" s="5"/>
    </row>
    <row r="98" spans="1:15" ht="14" customHeight="1" x14ac:dyDescent="0.45">
      <c r="A98" s="7">
        <v>45560</v>
      </c>
      <c r="B98" s="5" t="s">
        <v>59</v>
      </c>
      <c r="C98" s="5" t="s">
        <v>16</v>
      </c>
      <c r="D98" s="5">
        <v>2</v>
      </c>
      <c r="E98" s="5">
        <v>6</v>
      </c>
      <c r="F98" s="5">
        <v>1</v>
      </c>
      <c r="G98" s="7">
        <v>45561</v>
      </c>
      <c r="H98" s="5" t="s">
        <v>108</v>
      </c>
      <c r="I98" s="5">
        <v>3</v>
      </c>
      <c r="J98" s="5" t="s">
        <v>60</v>
      </c>
      <c r="K98" s="6">
        <f>IF(J98=[7]Legend!$A$66,[7]Legend!$B$66,(IF(J98=[7]Legend!$A$67,[7]Legend!$B$67,IF(J98=[7]Legend!$A$68, [7]Legend!$B$68, IF(J98=[7]Legend!$A$69, [7]Legend!$B$69, IF(J98=[7]Legend!$A$70, [7]Legend!$B$70, IF(J98=[7]Legend!$A$71, [7]Legend!$B$71, IF(J98=[7]Legend!$A$72, [7]Legend!$B$72, (IF(J98=[7]Legend!$A$73, [7]Legend!$B$73, IF(J98=[7]Legend!$A$74, [7]Legend!$B$74, "")))))))))))</f>
        <v>25</v>
      </c>
      <c r="L98" s="5">
        <v>8</v>
      </c>
      <c r="M98" s="5"/>
      <c r="N98" s="5"/>
      <c r="O98" s="5"/>
    </row>
    <row r="99" spans="1:15" ht="14" customHeight="1" x14ac:dyDescent="0.45">
      <c r="A99" s="7">
        <v>45560</v>
      </c>
      <c r="B99" s="5" t="s">
        <v>59</v>
      </c>
      <c r="C99" s="5" t="s">
        <v>16</v>
      </c>
      <c r="D99" s="5">
        <v>2</v>
      </c>
      <c r="E99" s="5">
        <v>6</v>
      </c>
      <c r="F99" s="5">
        <v>1</v>
      </c>
      <c r="G99" s="7">
        <v>45561</v>
      </c>
      <c r="H99" s="5" t="s">
        <v>108</v>
      </c>
      <c r="I99" s="5">
        <v>3</v>
      </c>
      <c r="J99" s="5" t="s">
        <v>18</v>
      </c>
      <c r="K99" s="6">
        <f>IF(J99=[7]Legend!$A$66,[7]Legend!$B$66,(IF(J99=[7]Legend!$A$67,[7]Legend!$B$67,IF(J99=[7]Legend!$A$68, [7]Legend!$B$68, IF(J99=[7]Legend!$A$69, [7]Legend!$B$69, IF(J99=[7]Legend!$A$70, [7]Legend!$B$70, IF(J99=[7]Legend!$A$71, [7]Legend!$B$71, IF(J99=[7]Legend!$A$72, [7]Legend!$B$72, (IF(J99=[7]Legend!$A$73, [7]Legend!$B$73, IF(J99=[7]Legend!$A$74, [7]Legend!$B$74, "")))))))))))</f>
        <v>5</v>
      </c>
      <c r="L99" s="5">
        <v>0</v>
      </c>
      <c r="M99" s="5"/>
      <c r="N99" s="5"/>
      <c r="O99" s="5"/>
    </row>
    <row r="100" spans="1:15" ht="14" customHeight="1" x14ac:dyDescent="0.45">
      <c r="A100" s="7">
        <v>45560</v>
      </c>
      <c r="B100" s="5" t="s">
        <v>59</v>
      </c>
      <c r="C100" s="5" t="s">
        <v>16</v>
      </c>
      <c r="D100" s="5">
        <v>2</v>
      </c>
      <c r="E100" s="5">
        <v>6</v>
      </c>
      <c r="F100" s="5">
        <v>1</v>
      </c>
      <c r="G100" s="7">
        <v>45561</v>
      </c>
      <c r="H100" s="5" t="s">
        <v>108</v>
      </c>
      <c r="I100" s="5">
        <v>3</v>
      </c>
      <c r="J100" s="5" t="s">
        <v>19</v>
      </c>
      <c r="K100" s="6">
        <f>IF(J100=[7]Legend!$A$66,[7]Legend!$B$66,(IF(J100=[7]Legend!$A$67,[7]Legend!$B$67,IF(J100=[7]Legend!$A$68, [7]Legend!$B$68, IF(J100=[7]Legend!$A$69, [7]Legend!$B$69, IF(J100=[7]Legend!$A$70, [7]Legend!$B$70, IF(J100=[7]Legend!$A$71, [7]Legend!$B$71, IF(J100=[7]Legend!$A$72, [7]Legend!$B$72, (IF(J100=[7]Legend!$A$73, [7]Legend!$B$73, IF(J100=[7]Legend!$A$74, [7]Legend!$B$74, "")))))))))))</f>
        <v>9</v>
      </c>
      <c r="L100" s="5">
        <v>2</v>
      </c>
      <c r="M100" s="5"/>
      <c r="N100" s="5"/>
      <c r="O100" s="5"/>
    </row>
    <row r="101" spans="1:15" ht="14" customHeight="1" x14ac:dyDescent="0.45">
      <c r="A101" s="7">
        <v>45560</v>
      </c>
      <c r="B101" s="5" t="s">
        <v>59</v>
      </c>
      <c r="C101" s="5" t="s">
        <v>16</v>
      </c>
      <c r="D101" s="5">
        <v>2</v>
      </c>
      <c r="E101" s="5">
        <v>6</v>
      </c>
      <c r="F101" s="5">
        <v>2</v>
      </c>
      <c r="G101" s="7">
        <v>45561</v>
      </c>
      <c r="H101" s="5" t="s">
        <v>108</v>
      </c>
      <c r="I101" s="5">
        <v>3</v>
      </c>
      <c r="J101" s="5" t="s">
        <v>60</v>
      </c>
      <c r="K101" s="6">
        <f>IF(J101=[7]Legend!$A$66,[7]Legend!$B$66,(IF(J101=[7]Legend!$A$67,[7]Legend!$B$67,IF(J101=[7]Legend!$A$68, [7]Legend!$B$68, IF(J101=[7]Legend!$A$69, [7]Legend!$B$69, IF(J101=[7]Legend!$A$70, [7]Legend!$B$70, IF(J101=[7]Legend!$A$71, [7]Legend!$B$71, IF(J101=[7]Legend!$A$72, [7]Legend!$B$72, (IF(J101=[7]Legend!$A$73, [7]Legend!$B$73, IF(J101=[7]Legend!$A$74, [7]Legend!$B$74, "")))))))))))</f>
        <v>25</v>
      </c>
      <c r="L101" s="5">
        <v>25</v>
      </c>
      <c r="M101" s="5"/>
      <c r="N101" s="5"/>
      <c r="O101" s="5"/>
    </row>
    <row r="102" spans="1:15" ht="14" customHeight="1" x14ac:dyDescent="0.45">
      <c r="A102" s="7">
        <v>45560</v>
      </c>
      <c r="B102" s="5" t="s">
        <v>59</v>
      </c>
      <c r="C102" s="5" t="s">
        <v>16</v>
      </c>
      <c r="D102" s="5">
        <v>2</v>
      </c>
      <c r="E102" s="5">
        <v>6</v>
      </c>
      <c r="F102" s="5">
        <v>2</v>
      </c>
      <c r="G102" s="7">
        <v>45561</v>
      </c>
      <c r="H102" s="5" t="s">
        <v>108</v>
      </c>
      <c r="I102" s="5">
        <v>3</v>
      </c>
      <c r="J102" s="5" t="s">
        <v>18</v>
      </c>
      <c r="K102" s="6">
        <f>IF(J102=[7]Legend!$A$66,[7]Legend!$B$66,(IF(J102=[7]Legend!$A$67,[7]Legend!$B$67,IF(J102=[7]Legend!$A$68, [7]Legend!$B$68, IF(J102=[7]Legend!$A$69, [7]Legend!$B$69, IF(J102=[7]Legend!$A$70, [7]Legend!$B$70, IF(J102=[7]Legend!$A$71, [7]Legend!$B$71, IF(J102=[7]Legend!$A$72, [7]Legend!$B$72, (IF(J102=[7]Legend!$A$73, [7]Legend!$B$73, IF(J102=[7]Legend!$A$74, [7]Legend!$B$74, "")))))))))))</f>
        <v>5</v>
      </c>
      <c r="L102" s="5">
        <v>5</v>
      </c>
      <c r="M102" s="5"/>
      <c r="N102" s="5"/>
      <c r="O102" s="5"/>
    </row>
    <row r="103" spans="1:15" ht="14" customHeight="1" x14ac:dyDescent="0.45">
      <c r="A103" s="7">
        <v>45560</v>
      </c>
      <c r="B103" s="5" t="s">
        <v>59</v>
      </c>
      <c r="C103" s="5" t="s">
        <v>16</v>
      </c>
      <c r="D103" s="5">
        <v>2</v>
      </c>
      <c r="E103" s="5">
        <v>6</v>
      </c>
      <c r="F103" s="5">
        <v>2</v>
      </c>
      <c r="G103" s="7">
        <v>45561</v>
      </c>
      <c r="H103" s="5" t="s">
        <v>108</v>
      </c>
      <c r="I103" s="5">
        <v>3</v>
      </c>
      <c r="J103" s="5" t="s">
        <v>19</v>
      </c>
      <c r="K103" s="6">
        <f>IF(J103=[7]Legend!$A$66,[7]Legend!$B$66,(IF(J103=[7]Legend!$A$67,[7]Legend!$B$67,IF(J103=[7]Legend!$A$68, [7]Legend!$B$68, IF(J103=[7]Legend!$A$69, [7]Legend!$B$69, IF(J103=[7]Legend!$A$70, [7]Legend!$B$70, IF(J103=[7]Legend!$A$71, [7]Legend!$B$71, IF(J103=[7]Legend!$A$72, [7]Legend!$B$72, (IF(J103=[7]Legend!$A$73, [7]Legend!$B$73, IF(J103=[7]Legend!$A$74, [7]Legend!$B$74, "")))))))))))</f>
        <v>9</v>
      </c>
      <c r="L103" s="5">
        <v>9</v>
      </c>
      <c r="M103" s="5">
        <v>1</v>
      </c>
      <c r="N103" s="5" t="s">
        <v>21</v>
      </c>
      <c r="O103" s="5"/>
    </row>
    <row r="104" spans="1:15" ht="14" customHeight="1" x14ac:dyDescent="0.45">
      <c r="A104" s="7">
        <v>45567</v>
      </c>
      <c r="B104" s="5" t="s">
        <v>59</v>
      </c>
      <c r="C104" s="5" t="s">
        <v>132</v>
      </c>
      <c r="D104" s="5">
        <v>3</v>
      </c>
      <c r="E104" s="5">
        <v>6</v>
      </c>
      <c r="F104" s="5">
        <v>1</v>
      </c>
      <c r="G104" s="7">
        <v>45719</v>
      </c>
      <c r="H104" s="5" t="s">
        <v>91</v>
      </c>
      <c r="I104" s="5">
        <v>3</v>
      </c>
      <c r="J104" s="5" t="s">
        <v>60</v>
      </c>
      <c r="K104" s="6">
        <f>IF(J104=[14]Legend!$A$67,[14]Legend!$B$67,(IF(J104=[14]Legend!$A$68,[14]Legend!$B$68,IF(J104=[14]Legend!$A$69, [14]Legend!$B$69, IF(J104=[14]Legend!$A$70, [14]Legend!$B$70, IF(J104=[14]Legend!$A$71, [14]Legend!$B$71, IF(J104=[14]Legend!$A$72, [14]Legend!$B$72, IF(J104=[14]Legend!$A$73, [14]Legend!$B$73, (IF(J104=[14]Legend!$A$74, [14]Legend!$B$74, IF(J104=[14]Legend!$A$75, [14]Legend!$B$75, "")))))))))))</f>
        <v>25</v>
      </c>
      <c r="L104" s="5">
        <v>20</v>
      </c>
      <c r="M104" s="5">
        <v>9</v>
      </c>
      <c r="N104" s="5"/>
      <c r="O104" s="5"/>
    </row>
    <row r="105" spans="1:15" ht="14" customHeight="1" x14ac:dyDescent="0.45">
      <c r="A105" s="7">
        <v>45567</v>
      </c>
      <c r="B105" s="5" t="s">
        <v>59</v>
      </c>
      <c r="C105" s="5" t="s">
        <v>132</v>
      </c>
      <c r="D105" s="5">
        <v>3</v>
      </c>
      <c r="E105" s="5">
        <v>6</v>
      </c>
      <c r="F105" s="5">
        <v>1</v>
      </c>
      <c r="G105" s="7">
        <v>45719</v>
      </c>
      <c r="H105" s="5" t="s">
        <v>91</v>
      </c>
      <c r="I105" s="5">
        <v>3</v>
      </c>
      <c r="J105" s="5" t="s">
        <v>18</v>
      </c>
      <c r="K105" s="6">
        <f>IF(J105=[14]Legend!$A$67,[14]Legend!$B$67,(IF(J105=[14]Legend!$A$68,[14]Legend!$B$68,IF(J105=[14]Legend!$A$69, [14]Legend!$B$69, IF(J105=[14]Legend!$A$70, [14]Legend!$B$70, IF(J105=[14]Legend!$A$71, [14]Legend!$B$71, IF(J105=[14]Legend!$A$72, [14]Legend!$B$72, IF(J105=[14]Legend!$A$73, [14]Legend!$B$73, (IF(J105=[14]Legend!$A$74, [14]Legend!$B$74, IF(J105=[14]Legend!$A$75, [14]Legend!$B$75, "")))))))))))</f>
        <v>5</v>
      </c>
      <c r="L105" s="5">
        <v>0</v>
      </c>
      <c r="M105" s="5">
        <v>0</v>
      </c>
      <c r="N105" s="5"/>
      <c r="O105" s="5"/>
    </row>
    <row r="106" spans="1:15" ht="14" customHeight="1" x14ac:dyDescent="0.45">
      <c r="A106" s="7">
        <v>45567</v>
      </c>
      <c r="B106" s="5" t="s">
        <v>59</v>
      </c>
      <c r="C106" s="5" t="s">
        <v>132</v>
      </c>
      <c r="D106" s="5">
        <v>3</v>
      </c>
      <c r="E106" s="5">
        <v>6</v>
      </c>
      <c r="F106" s="5">
        <v>1</v>
      </c>
      <c r="G106" s="7">
        <v>45719</v>
      </c>
      <c r="H106" s="5" t="s">
        <v>91</v>
      </c>
      <c r="I106" s="5">
        <v>3</v>
      </c>
      <c r="J106" s="5" t="s">
        <v>19</v>
      </c>
      <c r="K106" s="6">
        <f>IF(J106=[14]Legend!$A$67,[14]Legend!$B$67,(IF(J106=[14]Legend!$A$68,[14]Legend!$B$68,IF(J106=[14]Legend!$A$69, [14]Legend!$B$69, IF(J106=[14]Legend!$A$70, [14]Legend!$B$70, IF(J106=[14]Legend!$A$71, [14]Legend!$B$71, IF(J106=[14]Legend!$A$72, [14]Legend!$B$72, IF(J106=[14]Legend!$A$73, [14]Legend!$B$73, (IF(J106=[14]Legend!$A$74, [14]Legend!$B$74, IF(J106=[14]Legend!$A$75, [14]Legend!$B$75, "")))))))))))</f>
        <v>9</v>
      </c>
      <c r="L106" s="5">
        <v>1</v>
      </c>
      <c r="M106" s="5">
        <v>0</v>
      </c>
      <c r="N106" s="5"/>
      <c r="O106" s="5" t="s">
        <v>161</v>
      </c>
    </row>
    <row r="107" spans="1:15" ht="14" customHeight="1" x14ac:dyDescent="0.45">
      <c r="A107" s="7">
        <v>45567</v>
      </c>
      <c r="B107" s="5" t="s">
        <v>59</v>
      </c>
      <c r="C107" s="5" t="s">
        <v>132</v>
      </c>
      <c r="D107" s="5">
        <v>3</v>
      </c>
      <c r="E107" s="5">
        <v>6</v>
      </c>
      <c r="F107" s="5">
        <v>2</v>
      </c>
      <c r="G107" s="7">
        <v>45719</v>
      </c>
      <c r="H107" s="5" t="s">
        <v>91</v>
      </c>
      <c r="I107" s="5">
        <v>3</v>
      </c>
      <c r="J107" s="5" t="s">
        <v>60</v>
      </c>
      <c r="K107" s="6">
        <f>IF(J107=[14]Legend!$A$67,[14]Legend!$B$67,(IF(J107=[14]Legend!$A$68,[14]Legend!$B$68,IF(J107=[14]Legend!$A$69, [14]Legend!$B$69, IF(J107=[14]Legend!$A$70, [14]Legend!$B$70, IF(J107=[14]Legend!$A$71, [14]Legend!$B$71, IF(J107=[14]Legend!$A$72, [14]Legend!$B$72, IF(J107=[14]Legend!$A$73, [14]Legend!$B$73, (IF(J107=[14]Legend!$A$74, [14]Legend!$B$74, IF(J107=[14]Legend!$A$75, [14]Legend!$B$75, "")))))))))))</f>
        <v>25</v>
      </c>
      <c r="L107" s="5">
        <v>25</v>
      </c>
      <c r="M107" s="5">
        <v>0</v>
      </c>
      <c r="N107" s="5"/>
      <c r="O107" s="5"/>
    </row>
    <row r="108" spans="1:15" ht="14" customHeight="1" x14ac:dyDescent="0.45">
      <c r="A108" s="7">
        <v>45567</v>
      </c>
      <c r="B108" s="5" t="s">
        <v>59</v>
      </c>
      <c r="C108" s="5" t="s">
        <v>132</v>
      </c>
      <c r="D108" s="5">
        <v>3</v>
      </c>
      <c r="E108" s="5">
        <v>6</v>
      </c>
      <c r="F108" s="5">
        <v>2</v>
      </c>
      <c r="G108" s="7">
        <v>45719</v>
      </c>
      <c r="H108" s="5" t="s">
        <v>91</v>
      </c>
      <c r="I108" s="5">
        <v>3</v>
      </c>
      <c r="J108" s="5" t="s">
        <v>18</v>
      </c>
      <c r="K108" s="6">
        <f>IF(J108=[14]Legend!$A$67,[14]Legend!$B$67,(IF(J108=[14]Legend!$A$68,[14]Legend!$B$68,IF(J108=[14]Legend!$A$69, [14]Legend!$B$69, IF(J108=[14]Legend!$A$70, [14]Legend!$B$70, IF(J108=[14]Legend!$A$71, [14]Legend!$B$71, IF(J108=[14]Legend!$A$72, [14]Legend!$B$72, IF(J108=[14]Legend!$A$73, [14]Legend!$B$73, (IF(J108=[14]Legend!$A$74, [14]Legend!$B$74, IF(J108=[14]Legend!$A$75, [14]Legend!$B$75, "")))))))))))</f>
        <v>5</v>
      </c>
      <c r="L108" s="5">
        <v>5</v>
      </c>
      <c r="M108" s="5">
        <v>0</v>
      </c>
      <c r="N108" s="5"/>
      <c r="O108" s="5"/>
    </row>
    <row r="109" spans="1:15" ht="14" customHeight="1" x14ac:dyDescent="0.45">
      <c r="A109" s="7">
        <v>45567</v>
      </c>
      <c r="B109" s="5" t="s">
        <v>59</v>
      </c>
      <c r="C109" s="5" t="s">
        <v>132</v>
      </c>
      <c r="D109" s="5">
        <v>3</v>
      </c>
      <c r="E109" s="5">
        <v>6</v>
      </c>
      <c r="F109" s="5">
        <v>2</v>
      </c>
      <c r="G109" s="7">
        <v>45719</v>
      </c>
      <c r="H109" s="5" t="s">
        <v>91</v>
      </c>
      <c r="I109" s="5">
        <v>3</v>
      </c>
      <c r="J109" s="5" t="s">
        <v>19</v>
      </c>
      <c r="K109" s="6">
        <f>IF(J109=[14]Legend!$A$67,[14]Legend!$B$67,(IF(J109=[14]Legend!$A$68,[14]Legend!$B$68,IF(J109=[14]Legend!$A$69, [14]Legend!$B$69, IF(J109=[14]Legend!$A$70, [14]Legend!$B$70, IF(J109=[14]Legend!$A$71, [14]Legend!$B$71, IF(J109=[14]Legend!$A$72, [14]Legend!$B$72, IF(J109=[14]Legend!$A$73, [14]Legend!$B$73, (IF(J109=[14]Legend!$A$74, [14]Legend!$B$74, IF(J109=[14]Legend!$A$75, [14]Legend!$B$75, "")))))))))))</f>
        <v>9</v>
      </c>
      <c r="L109" s="5">
        <v>9</v>
      </c>
      <c r="M109" s="5">
        <v>0</v>
      </c>
      <c r="N109" s="5"/>
      <c r="O109" s="5"/>
    </row>
    <row r="110" spans="1:15" ht="14" customHeight="1" x14ac:dyDescent="0.45">
      <c r="A110" s="7">
        <v>45553</v>
      </c>
      <c r="B110" s="5" t="s">
        <v>59</v>
      </c>
      <c r="C110" s="5"/>
      <c r="D110" s="5">
        <v>1</v>
      </c>
      <c r="E110" s="5">
        <v>7</v>
      </c>
      <c r="F110" s="5">
        <v>1</v>
      </c>
      <c r="G110" s="7">
        <v>45587</v>
      </c>
      <c r="H110" s="5" t="s">
        <v>17</v>
      </c>
      <c r="I110" s="5">
        <v>3</v>
      </c>
      <c r="J110" s="5" t="s">
        <v>60</v>
      </c>
      <c r="K110" s="6">
        <f>IF(J110=[1]Legend!$A$66,[1]Legend!$B$66,(IF(J110=[1]Legend!$A$67,[1]Legend!$B$67,IF(J110=[1]Legend!$A$68, [1]Legend!$B$68, IF(J110=[1]Legend!$A$69, [1]Legend!$B$69, IF(J110=[1]Legend!$A$70, [1]Legend!$B$70, IF(J110=[1]Legend!$A$71, [1]Legend!$B$71, IF(J110=[1]Legend!$A$72, [1]Legend!$B$72, (IF(J110=[1]Legend!$A$73, [1]Legend!$B$73, IF(J110=[1]Legend!$A$74, [1]Legend!$B$74, "")))))))))))</f>
        <v>25</v>
      </c>
      <c r="L110" s="5">
        <v>25</v>
      </c>
      <c r="M110" s="5"/>
      <c r="N110" s="5"/>
      <c r="O110" s="5"/>
    </row>
    <row r="111" spans="1:15" ht="14" customHeight="1" x14ac:dyDescent="0.45">
      <c r="A111" s="7">
        <v>45553</v>
      </c>
      <c r="B111" s="5" t="s">
        <v>59</v>
      </c>
      <c r="C111" s="5"/>
      <c r="D111" s="5">
        <v>1</v>
      </c>
      <c r="E111" s="5">
        <v>7</v>
      </c>
      <c r="F111" s="5">
        <v>1</v>
      </c>
      <c r="G111" s="7">
        <v>45587</v>
      </c>
      <c r="H111" s="5" t="s">
        <v>17</v>
      </c>
      <c r="I111" s="5">
        <v>3</v>
      </c>
      <c r="J111" s="5" t="s">
        <v>18</v>
      </c>
      <c r="K111" s="6">
        <f>IF(J111=[1]Legend!$A$66,[1]Legend!$B$66,(IF(J111=[1]Legend!$A$67,[1]Legend!$B$67,IF(J111=[1]Legend!$A$68, [1]Legend!$B$68, IF(J111=[1]Legend!$A$69, [1]Legend!$B$69, IF(J111=[1]Legend!$A$70, [1]Legend!$B$70, IF(J111=[1]Legend!$A$71, [1]Legend!$B$71, IF(J111=[1]Legend!$A$72, [1]Legend!$B$72, (IF(J111=[1]Legend!$A$73, [1]Legend!$B$73, IF(J111=[1]Legend!$A$74, [1]Legend!$B$74, "")))))))))))</f>
        <v>5</v>
      </c>
      <c r="L111" s="5">
        <v>5</v>
      </c>
      <c r="M111" s="5"/>
      <c r="N111" s="5"/>
      <c r="O111" s="5"/>
    </row>
    <row r="112" spans="1:15" ht="14" customHeight="1" x14ac:dyDescent="0.45">
      <c r="A112" s="7">
        <v>45553</v>
      </c>
      <c r="B112" s="5" t="s">
        <v>59</v>
      </c>
      <c r="C112" s="5"/>
      <c r="D112" s="5">
        <v>1</v>
      </c>
      <c r="E112" s="5">
        <v>7</v>
      </c>
      <c r="F112" s="5">
        <v>1</v>
      </c>
      <c r="G112" s="7">
        <v>45587</v>
      </c>
      <c r="H112" s="5" t="s">
        <v>17</v>
      </c>
      <c r="I112" s="5">
        <v>3</v>
      </c>
      <c r="J112" s="5" t="s">
        <v>19</v>
      </c>
      <c r="K112" s="6">
        <f>IF(J112=[1]Legend!$A$66,[1]Legend!$B$66,(IF(J112=[1]Legend!$A$67,[1]Legend!$B$67,IF(J112=[1]Legend!$A$68, [1]Legend!$B$68, IF(J112=[1]Legend!$A$69, [1]Legend!$B$69, IF(J112=[1]Legend!$A$70, [1]Legend!$B$70, IF(J112=[1]Legend!$A$71, [1]Legend!$B$71, IF(J112=[1]Legend!$A$72, [1]Legend!$B$72, (IF(J112=[1]Legend!$A$73, [1]Legend!$B$73, IF(J112=[1]Legend!$A$74, [1]Legend!$B$74, "")))))))))))</f>
        <v>9</v>
      </c>
      <c r="L112" s="5">
        <v>9</v>
      </c>
      <c r="M112" s="5">
        <v>1</v>
      </c>
      <c r="N112" s="5" t="s">
        <v>21</v>
      </c>
      <c r="O112" s="5"/>
    </row>
    <row r="113" spans="1:15" ht="14" customHeight="1" x14ac:dyDescent="0.45">
      <c r="A113" s="7">
        <v>45553</v>
      </c>
      <c r="B113" s="5" t="s">
        <v>59</v>
      </c>
      <c r="C113" s="5"/>
      <c r="D113" s="5">
        <v>1</v>
      </c>
      <c r="E113" s="5">
        <v>7</v>
      </c>
      <c r="F113" s="5">
        <v>2</v>
      </c>
      <c r="G113" s="7">
        <v>45587</v>
      </c>
      <c r="H113" s="5" t="s">
        <v>17</v>
      </c>
      <c r="I113" s="5">
        <v>3</v>
      </c>
      <c r="J113" s="5" t="s">
        <v>60</v>
      </c>
      <c r="K113" s="6">
        <f>IF(J113=[1]Legend!$A$66,[1]Legend!$B$66,(IF(J113=[1]Legend!$A$67,[1]Legend!$B$67,IF(J113=[1]Legend!$A$68, [1]Legend!$B$68, IF(J113=[1]Legend!$A$69, [1]Legend!$B$69, IF(J113=[1]Legend!$A$70, [1]Legend!$B$70, IF(J113=[1]Legend!$A$71, [1]Legend!$B$71, IF(J113=[1]Legend!$A$72, [1]Legend!$B$72, (IF(J113=[1]Legend!$A$73, [1]Legend!$B$73, IF(J113=[1]Legend!$A$74, [1]Legend!$B$74, "")))))))))))</f>
        <v>25</v>
      </c>
      <c r="L113" s="5">
        <v>25</v>
      </c>
      <c r="M113" s="5"/>
      <c r="N113" s="5"/>
      <c r="O113" s="5"/>
    </row>
    <row r="114" spans="1:15" ht="14" customHeight="1" x14ac:dyDescent="0.45">
      <c r="A114" s="7">
        <v>45553</v>
      </c>
      <c r="B114" s="5" t="s">
        <v>59</v>
      </c>
      <c r="C114" s="5"/>
      <c r="D114" s="5">
        <v>1</v>
      </c>
      <c r="E114" s="5">
        <v>7</v>
      </c>
      <c r="F114" s="5">
        <v>2</v>
      </c>
      <c r="G114" s="7">
        <v>45587</v>
      </c>
      <c r="H114" s="5" t="s">
        <v>17</v>
      </c>
      <c r="I114" s="5">
        <v>3</v>
      </c>
      <c r="J114" s="5" t="s">
        <v>18</v>
      </c>
      <c r="K114" s="6">
        <f>IF(J114=[1]Legend!$A$66,[1]Legend!$B$66,(IF(J114=[1]Legend!$A$67,[1]Legend!$B$67,IF(J114=[1]Legend!$A$68, [1]Legend!$B$68, IF(J114=[1]Legend!$A$69, [1]Legend!$B$69, IF(J114=[1]Legend!$A$70, [1]Legend!$B$70, IF(J114=[1]Legend!$A$71, [1]Legend!$B$71, IF(J114=[1]Legend!$A$72, [1]Legend!$B$72, (IF(J114=[1]Legend!$A$73, [1]Legend!$B$73, IF(J114=[1]Legend!$A$74, [1]Legend!$B$74, "")))))))))))</f>
        <v>5</v>
      </c>
      <c r="L114" s="5">
        <v>5</v>
      </c>
      <c r="M114" s="5"/>
      <c r="N114" s="5"/>
      <c r="O114" s="5"/>
    </row>
    <row r="115" spans="1:15" ht="14" customHeight="1" x14ac:dyDescent="0.45">
      <c r="A115" s="7">
        <v>45553</v>
      </c>
      <c r="B115" s="5" t="s">
        <v>59</v>
      </c>
      <c r="C115" s="5"/>
      <c r="D115" s="5">
        <v>1</v>
      </c>
      <c r="E115" s="5">
        <v>7</v>
      </c>
      <c r="F115" s="5">
        <v>2</v>
      </c>
      <c r="G115" s="7">
        <v>45587</v>
      </c>
      <c r="H115" s="5" t="s">
        <v>17</v>
      </c>
      <c r="I115" s="5">
        <v>3</v>
      </c>
      <c r="J115" s="5" t="s">
        <v>19</v>
      </c>
      <c r="K115" s="6">
        <f>IF(J115=[1]Legend!$A$66,[1]Legend!$B$66,(IF(J115=[1]Legend!$A$67,[1]Legend!$B$67,IF(J115=[1]Legend!$A$68, [1]Legend!$B$68, IF(J115=[1]Legend!$A$69, [1]Legend!$B$69, IF(J115=[1]Legend!$A$70, [1]Legend!$B$70, IF(J115=[1]Legend!$A$71, [1]Legend!$B$71, IF(J115=[1]Legend!$A$72, [1]Legend!$B$72, (IF(J115=[1]Legend!$A$73, [1]Legend!$B$73, IF(J115=[1]Legend!$A$74, [1]Legend!$B$74, "")))))))))))</f>
        <v>9</v>
      </c>
      <c r="L115" s="5">
        <v>9</v>
      </c>
      <c r="M115" s="5">
        <v>1</v>
      </c>
      <c r="N115" s="5" t="s">
        <v>21</v>
      </c>
      <c r="O115" s="5"/>
    </row>
    <row r="116" spans="1:15" ht="14" customHeight="1" x14ac:dyDescent="0.45">
      <c r="A116" s="7">
        <v>45560</v>
      </c>
      <c r="B116" s="5" t="s">
        <v>59</v>
      </c>
      <c r="C116" s="5" t="s">
        <v>16</v>
      </c>
      <c r="D116" s="5">
        <v>2</v>
      </c>
      <c r="E116" s="5">
        <v>7</v>
      </c>
      <c r="F116" s="5">
        <v>1</v>
      </c>
      <c r="G116" s="7">
        <v>45561</v>
      </c>
      <c r="H116" s="5" t="s">
        <v>108</v>
      </c>
      <c r="I116" s="5">
        <v>3</v>
      </c>
      <c r="J116" s="5" t="s">
        <v>60</v>
      </c>
      <c r="K116" s="6">
        <f>IF(J116=[7]Legend!$A$66,[7]Legend!$B$66,(IF(J116=[7]Legend!$A$67,[7]Legend!$B$67,IF(J116=[7]Legend!$A$68, [7]Legend!$B$68, IF(J116=[7]Legend!$A$69, [7]Legend!$B$69, IF(J116=[7]Legend!$A$70, [7]Legend!$B$70, IF(J116=[7]Legend!$A$71, [7]Legend!$B$71, IF(J116=[7]Legend!$A$72, [7]Legend!$B$72, (IF(J116=[7]Legend!$A$73, [7]Legend!$B$73, IF(J116=[7]Legend!$A$74, [7]Legend!$B$74, "")))))))))))</f>
        <v>25</v>
      </c>
      <c r="L116" s="5">
        <v>25</v>
      </c>
      <c r="M116" s="5"/>
      <c r="N116" s="5"/>
      <c r="O116" s="5"/>
    </row>
    <row r="117" spans="1:15" ht="14" customHeight="1" x14ac:dyDescent="0.45">
      <c r="A117" s="7">
        <v>45560</v>
      </c>
      <c r="B117" s="5" t="s">
        <v>59</v>
      </c>
      <c r="C117" s="5" t="s">
        <v>16</v>
      </c>
      <c r="D117" s="5">
        <v>2</v>
      </c>
      <c r="E117" s="5">
        <v>7</v>
      </c>
      <c r="F117" s="5">
        <v>1</v>
      </c>
      <c r="G117" s="7">
        <v>45561</v>
      </c>
      <c r="H117" s="5" t="s">
        <v>108</v>
      </c>
      <c r="I117" s="5">
        <v>3</v>
      </c>
      <c r="J117" s="5" t="s">
        <v>18</v>
      </c>
      <c r="K117" s="6">
        <f>IF(J117=[7]Legend!$A$66,[7]Legend!$B$66,(IF(J117=[7]Legend!$A$67,[7]Legend!$B$67,IF(J117=[7]Legend!$A$68, [7]Legend!$B$68, IF(J117=[7]Legend!$A$69, [7]Legend!$B$69, IF(J117=[7]Legend!$A$70, [7]Legend!$B$70, IF(J117=[7]Legend!$A$71, [7]Legend!$B$71, IF(J117=[7]Legend!$A$72, [7]Legend!$B$72, (IF(J117=[7]Legend!$A$73, [7]Legend!$B$73, IF(J117=[7]Legend!$A$74, [7]Legend!$B$74, "")))))))))))</f>
        <v>5</v>
      </c>
      <c r="L117" s="5">
        <v>5</v>
      </c>
      <c r="M117" s="5"/>
      <c r="N117" s="5"/>
      <c r="O117" s="5"/>
    </row>
    <row r="118" spans="1:15" ht="14" customHeight="1" x14ac:dyDescent="0.45">
      <c r="A118" s="7">
        <v>45560</v>
      </c>
      <c r="B118" s="5" t="s">
        <v>59</v>
      </c>
      <c r="C118" s="5" t="s">
        <v>16</v>
      </c>
      <c r="D118" s="5">
        <v>2</v>
      </c>
      <c r="E118" s="5">
        <v>7</v>
      </c>
      <c r="F118" s="5">
        <v>1</v>
      </c>
      <c r="G118" s="7">
        <v>45561</v>
      </c>
      <c r="H118" s="5" t="s">
        <v>108</v>
      </c>
      <c r="I118" s="5">
        <v>3</v>
      </c>
      <c r="J118" s="5" t="s">
        <v>19</v>
      </c>
      <c r="K118" s="6">
        <f>IF(J118=[7]Legend!$A$66,[7]Legend!$B$66,(IF(J118=[7]Legend!$A$67,[7]Legend!$B$67,IF(J118=[7]Legend!$A$68, [7]Legend!$B$68, IF(J118=[7]Legend!$A$69, [7]Legend!$B$69, IF(J118=[7]Legend!$A$70, [7]Legend!$B$70, IF(J118=[7]Legend!$A$71, [7]Legend!$B$71, IF(J118=[7]Legend!$A$72, [7]Legend!$B$72, (IF(J118=[7]Legend!$A$73, [7]Legend!$B$73, IF(J118=[7]Legend!$A$74, [7]Legend!$B$74, "")))))))))))</f>
        <v>9</v>
      </c>
      <c r="L118" s="5">
        <v>9</v>
      </c>
      <c r="M118" s="5"/>
      <c r="N118" s="5"/>
      <c r="O118" s="5"/>
    </row>
    <row r="119" spans="1:15" ht="14" customHeight="1" x14ac:dyDescent="0.45">
      <c r="A119" s="7">
        <v>45560</v>
      </c>
      <c r="B119" s="5" t="s">
        <v>59</v>
      </c>
      <c r="C119" s="5" t="s">
        <v>16</v>
      </c>
      <c r="D119" s="5">
        <v>2</v>
      </c>
      <c r="E119" s="5">
        <v>7</v>
      </c>
      <c r="F119" s="5">
        <v>2</v>
      </c>
      <c r="G119" s="7">
        <v>45561</v>
      </c>
      <c r="H119" s="5" t="s">
        <v>108</v>
      </c>
      <c r="I119" s="5">
        <v>3</v>
      </c>
      <c r="J119" s="5" t="s">
        <v>60</v>
      </c>
      <c r="K119" s="6">
        <f>IF(J119=[7]Legend!$A$66,[7]Legend!$B$66,(IF(J119=[7]Legend!$A$67,[7]Legend!$B$67,IF(J119=[7]Legend!$A$68, [7]Legend!$B$68, IF(J119=[7]Legend!$A$69, [7]Legend!$B$69, IF(J119=[7]Legend!$A$70, [7]Legend!$B$70, IF(J119=[7]Legend!$A$71, [7]Legend!$B$71, IF(J119=[7]Legend!$A$72, [7]Legend!$B$72, (IF(J119=[7]Legend!$A$73, [7]Legend!$B$73, IF(J119=[7]Legend!$A$74, [7]Legend!$B$74, "")))))))))))</f>
        <v>25</v>
      </c>
      <c r="L119" s="5">
        <v>25</v>
      </c>
      <c r="M119" s="5"/>
      <c r="N119" s="5"/>
      <c r="O119" s="5"/>
    </row>
    <row r="120" spans="1:15" ht="14" customHeight="1" x14ac:dyDescent="0.45">
      <c r="A120" s="7">
        <v>45560</v>
      </c>
      <c r="B120" s="5" t="s">
        <v>59</v>
      </c>
      <c r="C120" s="5" t="s">
        <v>16</v>
      </c>
      <c r="D120" s="5">
        <v>2</v>
      </c>
      <c r="E120" s="5">
        <v>7</v>
      </c>
      <c r="F120" s="5">
        <v>2</v>
      </c>
      <c r="G120" s="7">
        <v>45561</v>
      </c>
      <c r="H120" s="5" t="s">
        <v>108</v>
      </c>
      <c r="I120" s="5">
        <v>3</v>
      </c>
      <c r="J120" s="5" t="s">
        <v>18</v>
      </c>
      <c r="K120" s="6">
        <f>IF(J120=[7]Legend!$A$66,[7]Legend!$B$66,(IF(J120=[7]Legend!$A$67,[7]Legend!$B$67,IF(J120=[7]Legend!$A$68, [7]Legend!$B$68, IF(J120=[7]Legend!$A$69, [7]Legend!$B$69, IF(J120=[7]Legend!$A$70, [7]Legend!$B$70, IF(J120=[7]Legend!$A$71, [7]Legend!$B$71, IF(J120=[7]Legend!$A$72, [7]Legend!$B$72, (IF(J120=[7]Legend!$A$73, [7]Legend!$B$73, IF(J120=[7]Legend!$A$74, [7]Legend!$B$74, "")))))))))))</f>
        <v>5</v>
      </c>
      <c r="L120" s="5">
        <v>5</v>
      </c>
      <c r="M120" s="5"/>
      <c r="N120" s="5"/>
      <c r="O120" s="5"/>
    </row>
    <row r="121" spans="1:15" ht="14" customHeight="1" x14ac:dyDescent="0.45">
      <c r="A121" s="7">
        <v>45560</v>
      </c>
      <c r="B121" s="5" t="s">
        <v>59</v>
      </c>
      <c r="C121" s="5" t="s">
        <v>16</v>
      </c>
      <c r="D121" s="5">
        <v>2</v>
      </c>
      <c r="E121" s="5">
        <v>7</v>
      </c>
      <c r="F121" s="5">
        <v>2</v>
      </c>
      <c r="G121" s="7">
        <v>45561</v>
      </c>
      <c r="H121" s="5" t="s">
        <v>108</v>
      </c>
      <c r="I121" s="5">
        <v>3</v>
      </c>
      <c r="J121" s="5" t="s">
        <v>19</v>
      </c>
      <c r="K121" s="6">
        <f>IF(J121=[7]Legend!$A$66,[7]Legend!$B$66,(IF(J121=[7]Legend!$A$67,[7]Legend!$B$67,IF(J121=[7]Legend!$A$68, [7]Legend!$B$68, IF(J121=[7]Legend!$A$69, [7]Legend!$B$69, IF(J121=[7]Legend!$A$70, [7]Legend!$B$70, IF(J121=[7]Legend!$A$71, [7]Legend!$B$71, IF(J121=[7]Legend!$A$72, [7]Legend!$B$72, (IF(J121=[7]Legend!$A$73, [7]Legend!$B$73, IF(J121=[7]Legend!$A$74, [7]Legend!$B$74, "")))))))))))</f>
        <v>9</v>
      </c>
      <c r="L121" s="5">
        <v>9</v>
      </c>
      <c r="M121" s="5"/>
      <c r="N121" s="5"/>
      <c r="O121" s="5"/>
    </row>
    <row r="122" spans="1:15" ht="14" customHeight="1" x14ac:dyDescent="0.45">
      <c r="A122" s="7">
        <v>45567</v>
      </c>
      <c r="B122" s="5" t="s">
        <v>59</v>
      </c>
      <c r="C122" s="5" t="s">
        <v>43</v>
      </c>
      <c r="D122" s="5">
        <v>3</v>
      </c>
      <c r="E122" s="5">
        <v>7</v>
      </c>
      <c r="F122" s="5">
        <v>1</v>
      </c>
      <c r="G122" s="7">
        <v>45601</v>
      </c>
      <c r="H122" s="5" t="s">
        <v>17</v>
      </c>
      <c r="I122" s="5">
        <v>3</v>
      </c>
      <c r="J122" s="5" t="s">
        <v>60</v>
      </c>
      <c r="K122" s="6">
        <f>IF(J122=[1]Legend!$A$66,[1]Legend!$B$66,(IF(J122=[1]Legend!$A$67,[1]Legend!$B$67,IF(J122=[1]Legend!$A$68, [1]Legend!$B$68, IF(J122=[1]Legend!$A$69, [1]Legend!$B$69, IF(J122=[1]Legend!$A$70, [1]Legend!$B$70, IF(J122=[1]Legend!$A$71, [1]Legend!$B$71, IF(J122=[1]Legend!$A$72, [1]Legend!$B$72, (IF(J122=[1]Legend!$A$73, [1]Legend!$B$73, IF(J122=[1]Legend!$A$74, [1]Legend!$B$74, "")))))))))))</f>
        <v>25</v>
      </c>
      <c r="L122" s="5">
        <v>9</v>
      </c>
      <c r="M122" s="5"/>
      <c r="N122" s="5"/>
      <c r="O122" s="5"/>
    </row>
    <row r="123" spans="1:15" ht="14" customHeight="1" x14ac:dyDescent="0.45">
      <c r="A123" s="7">
        <v>45567</v>
      </c>
      <c r="B123" s="5" t="s">
        <v>59</v>
      </c>
      <c r="C123" s="5" t="s">
        <v>43</v>
      </c>
      <c r="D123" s="5">
        <v>3</v>
      </c>
      <c r="E123" s="5">
        <v>7</v>
      </c>
      <c r="F123" s="5">
        <v>1</v>
      </c>
      <c r="G123" s="7">
        <v>45601</v>
      </c>
      <c r="H123" s="5" t="s">
        <v>17</v>
      </c>
      <c r="I123" s="5">
        <v>3</v>
      </c>
      <c r="J123" s="5" t="s">
        <v>18</v>
      </c>
      <c r="K123" s="6">
        <f>IF(J123=[1]Legend!$A$66,[1]Legend!$B$66,(IF(J123=[1]Legend!$A$67,[1]Legend!$B$67,IF(J123=[1]Legend!$A$68, [1]Legend!$B$68, IF(J123=[1]Legend!$A$69, [1]Legend!$B$69, IF(J123=[1]Legend!$A$70, [1]Legend!$B$70, IF(J123=[1]Legend!$A$71, [1]Legend!$B$71, IF(J123=[1]Legend!$A$72, [1]Legend!$B$72, (IF(J123=[1]Legend!$A$73, [1]Legend!$B$73, IF(J123=[1]Legend!$A$74, [1]Legend!$B$74, "")))))))))))</f>
        <v>5</v>
      </c>
      <c r="L123" s="5">
        <v>0</v>
      </c>
      <c r="M123" s="5"/>
      <c r="N123" s="5"/>
      <c r="O123" s="5"/>
    </row>
    <row r="124" spans="1:15" ht="14" customHeight="1" x14ac:dyDescent="0.45">
      <c r="A124" s="7">
        <v>45567</v>
      </c>
      <c r="B124" s="5" t="s">
        <v>59</v>
      </c>
      <c r="C124" s="5" t="s">
        <v>43</v>
      </c>
      <c r="D124" s="5">
        <v>3</v>
      </c>
      <c r="E124" s="5">
        <v>7</v>
      </c>
      <c r="F124" s="5">
        <v>1</v>
      </c>
      <c r="G124" s="7">
        <v>45601</v>
      </c>
      <c r="H124" s="5" t="s">
        <v>17</v>
      </c>
      <c r="I124" s="5">
        <v>3</v>
      </c>
      <c r="J124" s="5" t="s">
        <v>19</v>
      </c>
      <c r="K124" s="6">
        <f>IF(J124=[1]Legend!$A$66,[1]Legend!$B$66,(IF(J124=[1]Legend!$A$67,[1]Legend!$B$67,IF(J124=[1]Legend!$A$68, [1]Legend!$B$68, IF(J124=[1]Legend!$A$69, [1]Legend!$B$69, IF(J124=[1]Legend!$A$70, [1]Legend!$B$70, IF(J124=[1]Legend!$A$71, [1]Legend!$B$71, IF(J124=[1]Legend!$A$72, [1]Legend!$B$72, (IF(J124=[1]Legend!$A$73, [1]Legend!$B$73, IF(J124=[1]Legend!$A$74, [1]Legend!$B$74, "")))))))))))</f>
        <v>9</v>
      </c>
      <c r="L124" s="5">
        <v>1</v>
      </c>
      <c r="M124" s="5"/>
      <c r="N124" s="5"/>
      <c r="O124" s="5"/>
    </row>
    <row r="125" spans="1:15" ht="14" customHeight="1" x14ac:dyDescent="0.45">
      <c r="A125" s="7">
        <v>45567</v>
      </c>
      <c r="B125" s="5" t="s">
        <v>59</v>
      </c>
      <c r="C125" s="5" t="s">
        <v>132</v>
      </c>
      <c r="D125" s="5">
        <v>3</v>
      </c>
      <c r="E125" s="5">
        <v>7</v>
      </c>
      <c r="F125" s="5">
        <v>2</v>
      </c>
      <c r="G125" s="7">
        <v>45719</v>
      </c>
      <c r="H125" s="5" t="s">
        <v>91</v>
      </c>
      <c r="I125" s="5">
        <v>3</v>
      </c>
      <c r="J125" s="5" t="s">
        <v>60</v>
      </c>
      <c r="K125" s="6">
        <f>IF(J125=[14]Legend!$A$67,[14]Legend!$B$67,(IF(J125=[14]Legend!$A$68,[14]Legend!$B$68,IF(J125=[14]Legend!$A$69, [14]Legend!$B$69, IF(J125=[14]Legend!$A$70, [14]Legend!$B$70, IF(J125=[14]Legend!$A$71, [14]Legend!$B$71, IF(J125=[14]Legend!$A$72, [14]Legend!$B$72, IF(J125=[14]Legend!$A$73, [14]Legend!$B$73, (IF(J125=[14]Legend!$A$74, [14]Legend!$B$74, IF(J125=[14]Legend!$A$75, [14]Legend!$B$75, "")))))))))))</f>
        <v>25</v>
      </c>
      <c r="L125" s="5">
        <v>25</v>
      </c>
      <c r="M125" s="5">
        <v>1</v>
      </c>
      <c r="N125" s="5"/>
      <c r="O125" s="5"/>
    </row>
    <row r="126" spans="1:15" ht="14" customHeight="1" x14ac:dyDescent="0.45">
      <c r="A126" s="7">
        <v>45567</v>
      </c>
      <c r="B126" s="5" t="s">
        <v>59</v>
      </c>
      <c r="C126" s="5" t="s">
        <v>132</v>
      </c>
      <c r="D126" s="5">
        <v>3</v>
      </c>
      <c r="E126" s="5">
        <v>7</v>
      </c>
      <c r="F126" s="5">
        <v>2</v>
      </c>
      <c r="G126" s="7">
        <v>45719</v>
      </c>
      <c r="H126" s="5" t="s">
        <v>91</v>
      </c>
      <c r="I126" s="5">
        <v>3</v>
      </c>
      <c r="J126" s="5" t="s">
        <v>18</v>
      </c>
      <c r="K126" s="6">
        <f>IF(J126=[14]Legend!$A$67,[14]Legend!$B$67,(IF(J126=[14]Legend!$A$68,[14]Legend!$B$68,IF(J126=[14]Legend!$A$69, [14]Legend!$B$69, IF(J126=[14]Legend!$A$70, [14]Legend!$B$70, IF(J126=[14]Legend!$A$71, [14]Legend!$B$71, IF(J126=[14]Legend!$A$72, [14]Legend!$B$72, IF(J126=[14]Legend!$A$73, [14]Legend!$B$73, (IF(J126=[14]Legend!$A$74, [14]Legend!$B$74, IF(J126=[14]Legend!$A$75, [14]Legend!$B$75, "")))))))))))</f>
        <v>5</v>
      </c>
      <c r="L126" s="5">
        <v>5</v>
      </c>
      <c r="M126" s="5">
        <v>0</v>
      </c>
      <c r="N126" s="5"/>
      <c r="O126" s="5"/>
    </row>
    <row r="127" spans="1:15" ht="14" customHeight="1" x14ac:dyDescent="0.45">
      <c r="A127" s="7">
        <v>45567</v>
      </c>
      <c r="B127" s="5" t="s">
        <v>59</v>
      </c>
      <c r="C127" s="5" t="s">
        <v>132</v>
      </c>
      <c r="D127" s="5">
        <v>3</v>
      </c>
      <c r="E127" s="5">
        <v>7</v>
      </c>
      <c r="F127" s="5">
        <v>2</v>
      </c>
      <c r="G127" s="7">
        <v>45719</v>
      </c>
      <c r="H127" s="5" t="s">
        <v>91</v>
      </c>
      <c r="I127" s="5">
        <v>3</v>
      </c>
      <c r="J127" s="5" t="s">
        <v>19</v>
      </c>
      <c r="K127" s="6">
        <f>IF(J127=[14]Legend!$A$67,[14]Legend!$B$67,(IF(J127=[14]Legend!$A$68,[14]Legend!$B$68,IF(J127=[14]Legend!$A$69, [14]Legend!$B$69, IF(J127=[14]Legend!$A$70, [14]Legend!$B$70, IF(J127=[14]Legend!$A$71, [14]Legend!$B$71, IF(J127=[14]Legend!$A$72, [14]Legend!$B$72, IF(J127=[14]Legend!$A$73, [14]Legend!$B$73, (IF(J127=[14]Legend!$A$74, [14]Legend!$B$74, IF(J127=[14]Legend!$A$75, [14]Legend!$B$75, "")))))))))))</f>
        <v>9</v>
      </c>
      <c r="L127" s="5">
        <v>9</v>
      </c>
      <c r="M127" s="5">
        <v>0</v>
      </c>
      <c r="N127" s="5"/>
      <c r="O127" s="5"/>
    </row>
    <row r="128" spans="1:15" ht="14" customHeight="1" x14ac:dyDescent="0.45">
      <c r="A128" s="7">
        <v>45553</v>
      </c>
      <c r="B128" s="5" t="s">
        <v>59</v>
      </c>
      <c r="C128" s="5"/>
      <c r="D128" s="5">
        <v>1</v>
      </c>
      <c r="E128" s="5">
        <v>8</v>
      </c>
      <c r="F128" s="5">
        <v>1</v>
      </c>
      <c r="G128" s="7">
        <v>45587</v>
      </c>
      <c r="H128" s="5" t="s">
        <v>17</v>
      </c>
      <c r="I128" s="5">
        <v>3</v>
      </c>
      <c r="J128" s="5" t="s">
        <v>60</v>
      </c>
      <c r="K128" s="6">
        <f>IF(J128=[1]Legend!$A$66,[1]Legend!$B$66,(IF(J128=[1]Legend!$A$67,[1]Legend!$B$67,IF(J128=[1]Legend!$A$68, [1]Legend!$B$68, IF(J128=[1]Legend!$A$69, [1]Legend!$B$69, IF(J128=[1]Legend!$A$70, [1]Legend!$B$70, IF(J128=[1]Legend!$A$71, [1]Legend!$B$71, IF(J128=[1]Legend!$A$72, [1]Legend!$B$72, (IF(J128=[1]Legend!$A$73, [1]Legend!$B$73, IF(J128=[1]Legend!$A$74, [1]Legend!$B$74, "")))))))))))</f>
        <v>25</v>
      </c>
      <c r="L128" s="5">
        <v>25</v>
      </c>
      <c r="M128" s="5"/>
      <c r="N128" s="5"/>
      <c r="O128" s="5"/>
    </row>
    <row r="129" spans="1:15" ht="14" customHeight="1" x14ac:dyDescent="0.45">
      <c r="A129" s="7">
        <v>45553</v>
      </c>
      <c r="B129" s="5" t="s">
        <v>59</v>
      </c>
      <c r="C129" s="5"/>
      <c r="D129" s="5">
        <v>1</v>
      </c>
      <c r="E129" s="5">
        <v>8</v>
      </c>
      <c r="F129" s="5">
        <v>1</v>
      </c>
      <c r="G129" s="7">
        <v>45587</v>
      </c>
      <c r="H129" s="5" t="s">
        <v>17</v>
      </c>
      <c r="I129" s="5">
        <v>3</v>
      </c>
      <c r="J129" s="5" t="s">
        <v>18</v>
      </c>
      <c r="K129" s="6">
        <f>IF(J129=[1]Legend!$A$66,[1]Legend!$B$66,(IF(J129=[1]Legend!$A$67,[1]Legend!$B$67,IF(J129=[1]Legend!$A$68, [1]Legend!$B$68, IF(J129=[1]Legend!$A$69, [1]Legend!$B$69, IF(J129=[1]Legend!$A$70, [1]Legend!$B$70, IF(J129=[1]Legend!$A$71, [1]Legend!$B$71, IF(J129=[1]Legend!$A$72, [1]Legend!$B$72, (IF(J129=[1]Legend!$A$73, [1]Legend!$B$73, IF(J129=[1]Legend!$A$74, [1]Legend!$B$74, "")))))))))))</f>
        <v>5</v>
      </c>
      <c r="L129" s="5">
        <v>5</v>
      </c>
      <c r="M129" s="5"/>
      <c r="N129" s="5"/>
      <c r="O129" s="5"/>
    </row>
    <row r="130" spans="1:15" ht="14" customHeight="1" x14ac:dyDescent="0.45">
      <c r="A130" s="7">
        <v>45553</v>
      </c>
      <c r="B130" s="5" t="s">
        <v>59</v>
      </c>
      <c r="C130" s="5"/>
      <c r="D130" s="5">
        <v>1</v>
      </c>
      <c r="E130" s="5">
        <v>8</v>
      </c>
      <c r="F130" s="5">
        <v>1</v>
      </c>
      <c r="G130" s="7">
        <v>45587</v>
      </c>
      <c r="H130" s="5" t="s">
        <v>17</v>
      </c>
      <c r="I130" s="5">
        <v>3</v>
      </c>
      <c r="J130" s="5" t="s">
        <v>19</v>
      </c>
      <c r="K130" s="6">
        <f>IF(J130=[1]Legend!$A$66,[1]Legend!$B$66,(IF(J130=[1]Legend!$A$67,[1]Legend!$B$67,IF(J130=[1]Legend!$A$68, [1]Legend!$B$68, IF(J130=[1]Legend!$A$69, [1]Legend!$B$69, IF(J130=[1]Legend!$A$70, [1]Legend!$B$70, IF(J130=[1]Legend!$A$71, [1]Legend!$B$71, IF(J130=[1]Legend!$A$72, [1]Legend!$B$72, (IF(J130=[1]Legend!$A$73, [1]Legend!$B$73, IF(J130=[1]Legend!$A$74, [1]Legend!$B$74, "")))))))))))</f>
        <v>9</v>
      </c>
      <c r="L130" s="5">
        <v>9</v>
      </c>
      <c r="M130" s="5"/>
      <c r="N130" s="5"/>
      <c r="O130" s="5"/>
    </row>
    <row r="131" spans="1:15" ht="14" customHeight="1" x14ac:dyDescent="0.45">
      <c r="A131" s="7">
        <v>45553</v>
      </c>
      <c r="B131" s="5" t="s">
        <v>59</v>
      </c>
      <c r="C131" s="5"/>
      <c r="D131" s="5">
        <v>1</v>
      </c>
      <c r="E131" s="5">
        <v>8</v>
      </c>
      <c r="F131" s="5">
        <v>2</v>
      </c>
      <c r="G131" s="7">
        <v>45587</v>
      </c>
      <c r="H131" s="5" t="s">
        <v>17</v>
      </c>
      <c r="I131" s="5">
        <v>3</v>
      </c>
      <c r="J131" s="5" t="s">
        <v>60</v>
      </c>
      <c r="K131" s="6">
        <f>IF(J131=[1]Legend!$A$66,[1]Legend!$B$66,(IF(J131=[1]Legend!$A$67,[1]Legend!$B$67,IF(J131=[1]Legend!$A$68, [1]Legend!$B$68, IF(J131=[1]Legend!$A$69, [1]Legend!$B$69, IF(J131=[1]Legend!$A$70, [1]Legend!$B$70, IF(J131=[1]Legend!$A$71, [1]Legend!$B$71, IF(J131=[1]Legend!$A$72, [1]Legend!$B$72, (IF(J131=[1]Legend!$A$73, [1]Legend!$B$73, IF(J131=[1]Legend!$A$74, [1]Legend!$B$74, "")))))))))))</f>
        <v>25</v>
      </c>
      <c r="L131" s="5">
        <v>25</v>
      </c>
      <c r="M131" s="5"/>
      <c r="N131" s="5"/>
      <c r="O131" s="5"/>
    </row>
    <row r="132" spans="1:15" ht="14" customHeight="1" x14ac:dyDescent="0.45">
      <c r="A132" s="7">
        <v>45553</v>
      </c>
      <c r="B132" s="5" t="s">
        <v>59</v>
      </c>
      <c r="C132" s="5"/>
      <c r="D132" s="5">
        <v>1</v>
      </c>
      <c r="E132" s="5">
        <v>8</v>
      </c>
      <c r="F132" s="5">
        <v>2</v>
      </c>
      <c r="G132" s="7">
        <v>45587</v>
      </c>
      <c r="H132" s="5" t="s">
        <v>17</v>
      </c>
      <c r="I132" s="5">
        <v>3</v>
      </c>
      <c r="J132" s="5" t="s">
        <v>18</v>
      </c>
      <c r="K132" s="6">
        <f>IF(J132=[1]Legend!$A$66,[1]Legend!$B$66,(IF(J132=[1]Legend!$A$67,[1]Legend!$B$67,IF(J132=[1]Legend!$A$68, [1]Legend!$B$68, IF(J132=[1]Legend!$A$69, [1]Legend!$B$69, IF(J132=[1]Legend!$A$70, [1]Legend!$B$70, IF(J132=[1]Legend!$A$71, [1]Legend!$B$71, IF(J132=[1]Legend!$A$72, [1]Legend!$B$72, (IF(J132=[1]Legend!$A$73, [1]Legend!$B$73, IF(J132=[1]Legend!$A$74, [1]Legend!$B$74, "")))))))))))</f>
        <v>5</v>
      </c>
      <c r="L132" s="5">
        <v>5</v>
      </c>
      <c r="M132" s="5"/>
      <c r="N132" s="5"/>
      <c r="O132" s="5"/>
    </row>
    <row r="133" spans="1:15" ht="14" customHeight="1" x14ac:dyDescent="0.45">
      <c r="A133" s="7">
        <v>45553</v>
      </c>
      <c r="B133" s="5" t="s">
        <v>59</v>
      </c>
      <c r="C133" s="5"/>
      <c r="D133" s="5">
        <v>1</v>
      </c>
      <c r="E133" s="5">
        <v>8</v>
      </c>
      <c r="F133" s="5">
        <v>2</v>
      </c>
      <c r="G133" s="7">
        <v>45587</v>
      </c>
      <c r="H133" s="5" t="s">
        <v>17</v>
      </c>
      <c r="I133" s="5">
        <v>3</v>
      </c>
      <c r="J133" s="5" t="s">
        <v>19</v>
      </c>
      <c r="K133" s="6">
        <f>IF(J133=[1]Legend!$A$66,[1]Legend!$B$66,(IF(J133=[1]Legend!$A$67,[1]Legend!$B$67,IF(J133=[1]Legend!$A$68, [1]Legend!$B$68, IF(J133=[1]Legend!$A$69, [1]Legend!$B$69, IF(J133=[1]Legend!$A$70, [1]Legend!$B$70, IF(J133=[1]Legend!$A$71, [1]Legend!$B$71, IF(J133=[1]Legend!$A$72, [1]Legend!$B$72, (IF(J133=[1]Legend!$A$73, [1]Legend!$B$73, IF(J133=[1]Legend!$A$74, [1]Legend!$B$74, "")))))))))))</f>
        <v>9</v>
      </c>
      <c r="L133" s="5">
        <v>9</v>
      </c>
      <c r="M133" s="5"/>
      <c r="N133" s="5"/>
      <c r="O133" s="5"/>
    </row>
    <row r="134" spans="1:15" ht="14" customHeight="1" x14ac:dyDescent="0.45">
      <c r="A134" s="7">
        <v>45560</v>
      </c>
      <c r="B134" s="5" t="s">
        <v>59</v>
      </c>
      <c r="C134" s="5" t="s">
        <v>16</v>
      </c>
      <c r="D134" s="5">
        <v>2</v>
      </c>
      <c r="E134" s="5">
        <v>8</v>
      </c>
      <c r="F134" s="5">
        <v>1</v>
      </c>
      <c r="G134" s="7">
        <v>45561</v>
      </c>
      <c r="H134" s="5" t="s">
        <v>108</v>
      </c>
      <c r="I134" s="5">
        <v>3</v>
      </c>
      <c r="J134" s="5" t="s">
        <v>60</v>
      </c>
      <c r="K134" s="6">
        <f>IF(J134=[7]Legend!$A$66,[7]Legend!$B$66,(IF(J134=[7]Legend!$A$67,[7]Legend!$B$67,IF(J134=[7]Legend!$A$68, [7]Legend!$B$68, IF(J134=[7]Legend!$A$69, [7]Legend!$B$69, IF(J134=[7]Legend!$A$70, [7]Legend!$B$70, IF(J134=[7]Legend!$A$71, [7]Legend!$B$71, IF(J134=[7]Legend!$A$72, [7]Legend!$B$72, (IF(J134=[7]Legend!$A$73, [7]Legend!$B$73, IF(J134=[7]Legend!$A$74, [7]Legend!$B$74, "")))))))))))</f>
        <v>25</v>
      </c>
      <c r="L134" s="5">
        <v>0</v>
      </c>
      <c r="M134" s="5"/>
      <c r="N134" s="5"/>
      <c r="O134" s="5"/>
    </row>
    <row r="135" spans="1:15" ht="14" customHeight="1" x14ac:dyDescent="0.45">
      <c r="A135" s="7">
        <v>45560</v>
      </c>
      <c r="B135" s="5" t="s">
        <v>59</v>
      </c>
      <c r="C135" s="5" t="s">
        <v>16</v>
      </c>
      <c r="D135" s="5">
        <v>2</v>
      </c>
      <c r="E135" s="5">
        <v>8</v>
      </c>
      <c r="F135" s="5">
        <v>1</v>
      </c>
      <c r="G135" s="7">
        <v>45561</v>
      </c>
      <c r="H135" s="5" t="s">
        <v>108</v>
      </c>
      <c r="I135" s="5">
        <v>3</v>
      </c>
      <c r="J135" s="5" t="s">
        <v>18</v>
      </c>
      <c r="K135" s="6">
        <f>IF(J135=[7]Legend!$A$66,[7]Legend!$B$66,(IF(J135=[7]Legend!$A$67,[7]Legend!$B$67,IF(J135=[7]Legend!$A$68, [7]Legend!$B$68, IF(J135=[7]Legend!$A$69, [7]Legend!$B$69, IF(J135=[7]Legend!$A$70, [7]Legend!$B$70, IF(J135=[7]Legend!$A$71, [7]Legend!$B$71, IF(J135=[7]Legend!$A$72, [7]Legend!$B$72, (IF(J135=[7]Legend!$A$73, [7]Legend!$B$73, IF(J135=[7]Legend!$A$74, [7]Legend!$B$74, "")))))))))))</f>
        <v>5</v>
      </c>
      <c r="L135" s="5">
        <v>0</v>
      </c>
      <c r="M135" s="5"/>
      <c r="N135" s="5"/>
      <c r="O135" s="5"/>
    </row>
    <row r="136" spans="1:15" ht="14" customHeight="1" x14ac:dyDescent="0.45">
      <c r="A136" s="7">
        <v>45560</v>
      </c>
      <c r="B136" s="5" t="s">
        <v>59</v>
      </c>
      <c r="C136" s="5" t="s">
        <v>16</v>
      </c>
      <c r="D136" s="5">
        <v>2</v>
      </c>
      <c r="E136" s="5">
        <v>8</v>
      </c>
      <c r="F136" s="5">
        <v>1</v>
      </c>
      <c r="G136" s="7">
        <v>45561</v>
      </c>
      <c r="H136" s="5" t="s">
        <v>108</v>
      </c>
      <c r="I136" s="5">
        <v>3</v>
      </c>
      <c r="J136" s="5" t="s">
        <v>19</v>
      </c>
      <c r="K136" s="6">
        <f>IF(J136=[7]Legend!$A$66,[7]Legend!$B$66,(IF(J136=[7]Legend!$A$67,[7]Legend!$B$67,IF(J136=[7]Legend!$A$68, [7]Legend!$B$68, IF(J136=[7]Legend!$A$69, [7]Legend!$B$69, IF(J136=[7]Legend!$A$70, [7]Legend!$B$70, IF(J136=[7]Legend!$A$71, [7]Legend!$B$71, IF(J136=[7]Legend!$A$72, [7]Legend!$B$72, (IF(J136=[7]Legend!$A$73, [7]Legend!$B$73, IF(J136=[7]Legend!$A$74, [7]Legend!$B$74, "")))))))))))</f>
        <v>9</v>
      </c>
      <c r="L136" s="5">
        <v>0</v>
      </c>
      <c r="M136" s="5"/>
      <c r="N136" s="5"/>
      <c r="O136" s="5"/>
    </row>
    <row r="137" spans="1:15" ht="14" customHeight="1" x14ac:dyDescent="0.45">
      <c r="A137" s="7">
        <v>45560</v>
      </c>
      <c r="B137" s="5" t="s">
        <v>59</v>
      </c>
      <c r="C137" s="5" t="s">
        <v>16</v>
      </c>
      <c r="D137" s="5">
        <v>2</v>
      </c>
      <c r="E137" s="5">
        <v>8</v>
      </c>
      <c r="F137" s="5">
        <v>2</v>
      </c>
      <c r="G137" s="7">
        <v>45561</v>
      </c>
      <c r="H137" s="5" t="s">
        <v>108</v>
      </c>
      <c r="I137" s="5">
        <v>3</v>
      </c>
      <c r="J137" s="5" t="s">
        <v>60</v>
      </c>
      <c r="K137" s="6">
        <f>IF(J137=[7]Legend!$A$66,[7]Legend!$B$66,(IF(J137=[7]Legend!$A$67,[7]Legend!$B$67,IF(J137=[7]Legend!$A$68, [7]Legend!$B$68, IF(J137=[7]Legend!$A$69, [7]Legend!$B$69, IF(J137=[7]Legend!$A$70, [7]Legend!$B$70, IF(J137=[7]Legend!$A$71, [7]Legend!$B$71, IF(J137=[7]Legend!$A$72, [7]Legend!$B$72, (IF(J137=[7]Legend!$A$73, [7]Legend!$B$73, IF(J137=[7]Legend!$A$74, [7]Legend!$B$74, "")))))))))))</f>
        <v>25</v>
      </c>
      <c r="L137" s="5">
        <v>25</v>
      </c>
      <c r="M137" s="5"/>
      <c r="N137" s="5"/>
      <c r="O137" s="5"/>
    </row>
    <row r="138" spans="1:15" ht="14" customHeight="1" x14ac:dyDescent="0.45">
      <c r="A138" s="7">
        <v>45560</v>
      </c>
      <c r="B138" s="5" t="s">
        <v>59</v>
      </c>
      <c r="C138" s="5" t="s">
        <v>16</v>
      </c>
      <c r="D138" s="5">
        <v>2</v>
      </c>
      <c r="E138" s="5">
        <v>8</v>
      </c>
      <c r="F138" s="5">
        <v>2</v>
      </c>
      <c r="G138" s="7">
        <v>45561</v>
      </c>
      <c r="H138" s="5" t="s">
        <v>108</v>
      </c>
      <c r="I138" s="5">
        <v>3</v>
      </c>
      <c r="J138" s="5" t="s">
        <v>18</v>
      </c>
      <c r="K138" s="6">
        <f>IF(J138=[7]Legend!$A$66,[7]Legend!$B$66,(IF(J138=[7]Legend!$A$67,[7]Legend!$B$67,IF(J138=[7]Legend!$A$68, [7]Legend!$B$68, IF(J138=[7]Legend!$A$69, [7]Legend!$B$69, IF(J138=[7]Legend!$A$70, [7]Legend!$B$70, IF(J138=[7]Legend!$A$71, [7]Legend!$B$71, IF(J138=[7]Legend!$A$72, [7]Legend!$B$72, (IF(J138=[7]Legend!$A$73, [7]Legend!$B$73, IF(J138=[7]Legend!$A$74, [7]Legend!$B$74, "")))))))))))</f>
        <v>5</v>
      </c>
      <c r="L138" s="5">
        <v>6</v>
      </c>
      <c r="M138" s="5">
        <v>2</v>
      </c>
      <c r="N138" s="5" t="s">
        <v>21</v>
      </c>
      <c r="O138" s="5" t="s">
        <v>117</v>
      </c>
    </row>
    <row r="139" spans="1:15" ht="14" customHeight="1" x14ac:dyDescent="0.45">
      <c r="A139" s="7">
        <v>45560</v>
      </c>
      <c r="B139" s="5" t="s">
        <v>59</v>
      </c>
      <c r="C139" s="5" t="s">
        <v>16</v>
      </c>
      <c r="D139" s="5">
        <v>2</v>
      </c>
      <c r="E139" s="5">
        <v>8</v>
      </c>
      <c r="F139" s="5">
        <v>2</v>
      </c>
      <c r="G139" s="7">
        <v>45561</v>
      </c>
      <c r="H139" s="5" t="s">
        <v>108</v>
      </c>
      <c r="I139" s="5">
        <v>3</v>
      </c>
      <c r="J139" s="5" t="s">
        <v>19</v>
      </c>
      <c r="K139" s="6">
        <f>IF(J139=[7]Legend!$A$66,[7]Legend!$B$66,(IF(J139=[7]Legend!$A$67,[7]Legend!$B$67,IF(J139=[7]Legend!$A$68, [7]Legend!$B$68, IF(J139=[7]Legend!$A$69, [7]Legend!$B$69, IF(J139=[7]Legend!$A$70, [7]Legend!$B$70, IF(J139=[7]Legend!$A$71, [7]Legend!$B$71, IF(J139=[7]Legend!$A$72, [7]Legend!$B$72, (IF(J139=[7]Legend!$A$73, [7]Legend!$B$73, IF(J139=[7]Legend!$A$74, [7]Legend!$B$74, "")))))))))))</f>
        <v>9</v>
      </c>
      <c r="L139" s="5">
        <v>9</v>
      </c>
      <c r="M139" s="5">
        <v>1</v>
      </c>
      <c r="N139" s="5" t="s">
        <v>21</v>
      </c>
      <c r="O139" s="5"/>
    </row>
    <row r="140" spans="1:15" ht="14" customHeight="1" x14ac:dyDescent="0.45">
      <c r="A140" s="7">
        <v>45567</v>
      </c>
      <c r="B140" s="5" t="s">
        <v>59</v>
      </c>
      <c r="C140" s="5" t="s">
        <v>43</v>
      </c>
      <c r="D140" s="5">
        <v>3</v>
      </c>
      <c r="E140" s="5">
        <v>8</v>
      </c>
      <c r="F140" s="5">
        <v>1</v>
      </c>
      <c r="G140" s="7">
        <v>45601</v>
      </c>
      <c r="H140" s="5" t="s">
        <v>17</v>
      </c>
      <c r="I140" s="5">
        <v>3</v>
      </c>
      <c r="J140" s="5" t="s">
        <v>60</v>
      </c>
      <c r="K140" s="6">
        <f>IF(J140=[1]Legend!$A$66,[1]Legend!$B$66,(IF(J140=[1]Legend!$A$67,[1]Legend!$B$67,IF(J140=[1]Legend!$A$68, [1]Legend!$B$68, IF(J140=[1]Legend!$A$69, [1]Legend!$B$69, IF(J140=[1]Legend!$A$70, [1]Legend!$B$70, IF(J140=[1]Legend!$A$71, [1]Legend!$B$71, IF(J140=[1]Legend!$A$72, [1]Legend!$B$72, (IF(J140=[1]Legend!$A$73, [1]Legend!$B$73, IF(J140=[1]Legend!$A$74, [1]Legend!$B$74, "")))))))))))</f>
        <v>25</v>
      </c>
      <c r="L140" s="5">
        <v>3</v>
      </c>
      <c r="M140" s="5">
        <v>1</v>
      </c>
      <c r="N140" s="5" t="s">
        <v>30</v>
      </c>
      <c r="O140" s="5" t="s">
        <v>83</v>
      </c>
    </row>
    <row r="141" spans="1:15" ht="14" customHeight="1" x14ac:dyDescent="0.45">
      <c r="A141" s="7">
        <v>45567</v>
      </c>
      <c r="B141" s="5" t="s">
        <v>59</v>
      </c>
      <c r="C141" s="5" t="s">
        <v>43</v>
      </c>
      <c r="D141" s="5">
        <v>3</v>
      </c>
      <c r="E141" s="5">
        <v>8</v>
      </c>
      <c r="F141" s="5">
        <v>1</v>
      </c>
      <c r="G141" s="7">
        <v>45601</v>
      </c>
      <c r="H141" s="5" t="s">
        <v>17</v>
      </c>
      <c r="I141" s="5">
        <v>3</v>
      </c>
      <c r="J141" s="5" t="s">
        <v>18</v>
      </c>
      <c r="K141" s="6">
        <f>IF(J141=[1]Legend!$A$66,[1]Legend!$B$66,(IF(J141=[1]Legend!$A$67,[1]Legend!$B$67,IF(J141=[1]Legend!$A$68, [1]Legend!$B$68, IF(J141=[1]Legend!$A$69, [1]Legend!$B$69, IF(J141=[1]Legend!$A$70, [1]Legend!$B$70, IF(J141=[1]Legend!$A$71, [1]Legend!$B$71, IF(J141=[1]Legend!$A$72, [1]Legend!$B$72, (IF(J141=[1]Legend!$A$73, [1]Legend!$B$73, IF(J141=[1]Legend!$A$74, [1]Legend!$B$74, "")))))))))))</f>
        <v>5</v>
      </c>
      <c r="L141" s="5">
        <v>0</v>
      </c>
      <c r="M141" s="5"/>
      <c r="N141" s="5"/>
      <c r="O141" s="5"/>
    </row>
    <row r="142" spans="1:15" ht="14" customHeight="1" x14ac:dyDescent="0.45">
      <c r="A142" s="7">
        <v>45567</v>
      </c>
      <c r="B142" s="5" t="s">
        <v>59</v>
      </c>
      <c r="C142" s="5" t="s">
        <v>43</v>
      </c>
      <c r="D142" s="5">
        <v>3</v>
      </c>
      <c r="E142" s="5">
        <v>8</v>
      </c>
      <c r="F142" s="5">
        <v>1</v>
      </c>
      <c r="G142" s="7">
        <v>45601</v>
      </c>
      <c r="H142" s="5" t="s">
        <v>17</v>
      </c>
      <c r="I142" s="5">
        <v>3</v>
      </c>
      <c r="J142" s="5" t="s">
        <v>19</v>
      </c>
      <c r="K142" s="6">
        <f>IF(J142=[1]Legend!$A$66,[1]Legend!$B$66,(IF(J142=[1]Legend!$A$67,[1]Legend!$B$67,IF(J142=[1]Legend!$A$68, [1]Legend!$B$68, IF(J142=[1]Legend!$A$69, [1]Legend!$B$69, IF(J142=[1]Legend!$A$70, [1]Legend!$B$70, IF(J142=[1]Legend!$A$71, [1]Legend!$B$71, IF(J142=[1]Legend!$A$72, [1]Legend!$B$72, (IF(J142=[1]Legend!$A$73, [1]Legend!$B$73, IF(J142=[1]Legend!$A$74, [1]Legend!$B$74, "")))))))))))</f>
        <v>9</v>
      </c>
      <c r="L142" s="5">
        <v>1</v>
      </c>
      <c r="M142" s="5">
        <v>1</v>
      </c>
      <c r="N142" s="5" t="s">
        <v>30</v>
      </c>
      <c r="O142" s="5" t="s">
        <v>84</v>
      </c>
    </row>
    <row r="143" spans="1:15" ht="14" customHeight="1" x14ac:dyDescent="0.45">
      <c r="A143" s="7">
        <v>45567</v>
      </c>
      <c r="B143" s="5" t="s">
        <v>59</v>
      </c>
      <c r="C143" s="5" t="s">
        <v>43</v>
      </c>
      <c r="D143" s="5">
        <v>3</v>
      </c>
      <c r="E143" s="5">
        <v>8</v>
      </c>
      <c r="F143" s="17">
        <v>2</v>
      </c>
      <c r="G143" s="7">
        <v>45601</v>
      </c>
      <c r="H143" s="5" t="s">
        <v>17</v>
      </c>
      <c r="I143" s="5">
        <v>3</v>
      </c>
      <c r="J143" s="5" t="s">
        <v>60</v>
      </c>
      <c r="K143" s="6">
        <f>IF(J143=[1]Legend!$A$66,[1]Legend!$B$66,(IF(J143=[1]Legend!$A$67,[1]Legend!$B$67,IF(J143=[1]Legend!$A$68, [1]Legend!$B$68, IF(J143=[1]Legend!$A$69, [1]Legend!$B$69, IF(J143=[1]Legend!$A$70, [1]Legend!$B$70, IF(J143=[1]Legend!$A$71, [1]Legend!$B$71, IF(J143=[1]Legend!$A$72, [1]Legend!$B$72, (IF(J143=[1]Legend!$A$73, [1]Legend!$B$73, IF(J143=[1]Legend!$A$74, [1]Legend!$B$74, "")))))))))))</f>
        <v>25</v>
      </c>
      <c r="L143" s="5">
        <v>25</v>
      </c>
      <c r="M143" s="5"/>
      <c r="N143" s="5"/>
      <c r="O143" s="5"/>
    </row>
    <row r="144" spans="1:15" ht="14" customHeight="1" x14ac:dyDescent="0.45">
      <c r="A144" s="7">
        <v>45567</v>
      </c>
      <c r="B144" s="5" t="s">
        <v>59</v>
      </c>
      <c r="C144" s="5" t="s">
        <v>43</v>
      </c>
      <c r="D144" s="5">
        <v>3</v>
      </c>
      <c r="E144" s="5">
        <v>8</v>
      </c>
      <c r="F144" s="5">
        <v>2</v>
      </c>
      <c r="G144" s="7">
        <v>45601</v>
      </c>
      <c r="H144" s="5" t="s">
        <v>17</v>
      </c>
      <c r="I144" s="5">
        <v>3</v>
      </c>
      <c r="J144" s="5" t="s">
        <v>18</v>
      </c>
      <c r="K144" s="6">
        <f>IF(J144=[1]Legend!$A$66,[1]Legend!$B$66,(IF(J144=[1]Legend!$A$67,[1]Legend!$B$67,IF(J144=[1]Legend!$A$68, [1]Legend!$B$68, IF(J144=[1]Legend!$A$69, [1]Legend!$B$69, IF(J144=[1]Legend!$A$70, [1]Legend!$B$70, IF(J144=[1]Legend!$A$71, [1]Legend!$B$71, IF(J144=[1]Legend!$A$72, [1]Legend!$B$72, (IF(J144=[1]Legend!$A$73, [1]Legend!$B$73, IF(J144=[1]Legend!$A$74, [1]Legend!$B$74, "")))))))))))</f>
        <v>5</v>
      </c>
      <c r="L144" s="5">
        <v>5</v>
      </c>
      <c r="M144" s="5"/>
      <c r="N144" s="5"/>
      <c r="O144" s="5"/>
    </row>
    <row r="145" spans="1:15" ht="14" customHeight="1" x14ac:dyDescent="0.45">
      <c r="A145" s="7">
        <v>45567</v>
      </c>
      <c r="B145" s="5" t="s">
        <v>59</v>
      </c>
      <c r="C145" s="5" t="s">
        <v>43</v>
      </c>
      <c r="D145" s="5">
        <v>3</v>
      </c>
      <c r="E145" s="5">
        <v>8</v>
      </c>
      <c r="F145" s="5">
        <v>2</v>
      </c>
      <c r="G145" s="7">
        <v>45601</v>
      </c>
      <c r="H145" s="5" t="s">
        <v>17</v>
      </c>
      <c r="I145" s="5">
        <v>3</v>
      </c>
      <c r="J145" s="5" t="s">
        <v>19</v>
      </c>
      <c r="K145" s="6">
        <f>IF(J145=[1]Legend!$A$66,[1]Legend!$B$66,(IF(J145=[1]Legend!$A$67,[1]Legend!$B$67,IF(J145=[1]Legend!$A$68, [1]Legend!$B$68, IF(J145=[1]Legend!$A$69, [1]Legend!$B$69, IF(J145=[1]Legend!$A$70, [1]Legend!$B$70, IF(J145=[1]Legend!$A$71, [1]Legend!$B$71, IF(J145=[1]Legend!$A$72, [1]Legend!$B$72, (IF(J145=[1]Legend!$A$73, [1]Legend!$B$73, IF(J145=[1]Legend!$A$74, [1]Legend!$B$74, "")))))))))))</f>
        <v>9</v>
      </c>
      <c r="L145" s="5">
        <v>9</v>
      </c>
      <c r="M145" s="5"/>
      <c r="N145" s="5"/>
      <c r="O145" s="5"/>
    </row>
    <row r="146" spans="1:15" ht="14" customHeight="1" x14ac:dyDescent="0.45">
      <c r="A146" s="7">
        <v>45553</v>
      </c>
      <c r="B146" s="5" t="s">
        <v>59</v>
      </c>
      <c r="C146" s="5"/>
      <c r="D146" s="5">
        <v>1</v>
      </c>
      <c r="E146" s="5">
        <v>9</v>
      </c>
      <c r="F146" s="5">
        <v>1</v>
      </c>
      <c r="G146" s="7">
        <v>45587</v>
      </c>
      <c r="H146" s="5" t="s">
        <v>17</v>
      </c>
      <c r="I146" s="5">
        <v>3</v>
      </c>
      <c r="J146" s="5" t="s">
        <v>60</v>
      </c>
      <c r="K146" s="6">
        <f>IF(J146=[1]Legend!$A$66,[1]Legend!$B$66,(IF(J146=[1]Legend!$A$67,[1]Legend!$B$67,IF(J146=[1]Legend!$A$68, [1]Legend!$B$68, IF(J146=[1]Legend!$A$69, [1]Legend!$B$69, IF(J146=[1]Legend!$A$70, [1]Legend!$B$70, IF(J146=[1]Legend!$A$71, [1]Legend!$B$71, IF(J146=[1]Legend!$A$72, [1]Legend!$B$72, (IF(J146=[1]Legend!$A$73, [1]Legend!$B$73, IF(J146=[1]Legend!$A$74, [1]Legend!$B$74, "")))))))))))</f>
        <v>25</v>
      </c>
      <c r="L146" s="5">
        <v>25</v>
      </c>
      <c r="M146" s="5"/>
      <c r="N146" s="5"/>
      <c r="O146" s="5"/>
    </row>
    <row r="147" spans="1:15" ht="14" customHeight="1" x14ac:dyDescent="0.45">
      <c r="A147" s="7">
        <v>45553</v>
      </c>
      <c r="B147" s="5" t="s">
        <v>59</v>
      </c>
      <c r="C147" s="5"/>
      <c r="D147" s="5">
        <v>1</v>
      </c>
      <c r="E147" s="5">
        <v>9</v>
      </c>
      <c r="F147" s="5">
        <v>1</v>
      </c>
      <c r="G147" s="7">
        <v>45587</v>
      </c>
      <c r="H147" s="5" t="s">
        <v>17</v>
      </c>
      <c r="I147" s="5">
        <v>3</v>
      </c>
      <c r="J147" s="5" t="s">
        <v>18</v>
      </c>
      <c r="K147" s="6">
        <f>IF(J147=[1]Legend!$A$66,[1]Legend!$B$66,(IF(J147=[1]Legend!$A$67,[1]Legend!$B$67,IF(J147=[1]Legend!$A$68, [1]Legend!$B$68, IF(J147=[1]Legend!$A$69, [1]Legend!$B$69, IF(J147=[1]Legend!$A$70, [1]Legend!$B$70, IF(J147=[1]Legend!$A$71, [1]Legend!$B$71, IF(J147=[1]Legend!$A$72, [1]Legend!$B$72, (IF(J147=[1]Legend!$A$73, [1]Legend!$B$73, IF(J147=[1]Legend!$A$74, [1]Legend!$B$74, "")))))))))))</f>
        <v>5</v>
      </c>
      <c r="L147" s="5">
        <v>5</v>
      </c>
      <c r="M147" s="5"/>
      <c r="N147" s="5"/>
      <c r="O147" s="5"/>
    </row>
    <row r="148" spans="1:15" ht="14" customHeight="1" x14ac:dyDescent="0.45">
      <c r="A148" s="7">
        <v>45553</v>
      </c>
      <c r="B148" s="5" t="s">
        <v>59</v>
      </c>
      <c r="C148" s="5"/>
      <c r="D148" s="5">
        <v>1</v>
      </c>
      <c r="E148" s="5">
        <v>9</v>
      </c>
      <c r="F148" s="5">
        <v>1</v>
      </c>
      <c r="G148" s="7">
        <v>45587</v>
      </c>
      <c r="H148" s="5" t="s">
        <v>17</v>
      </c>
      <c r="I148" s="5">
        <v>3</v>
      </c>
      <c r="J148" s="5" t="s">
        <v>19</v>
      </c>
      <c r="K148" s="6">
        <f>IF(J148=[1]Legend!$A$66,[1]Legend!$B$66,(IF(J148=[1]Legend!$A$67,[1]Legend!$B$67,IF(J148=[1]Legend!$A$68, [1]Legend!$B$68, IF(J148=[1]Legend!$A$69, [1]Legend!$B$69, IF(J148=[1]Legend!$A$70, [1]Legend!$B$70, IF(J148=[1]Legend!$A$71, [1]Legend!$B$71, IF(J148=[1]Legend!$A$72, [1]Legend!$B$72, (IF(J148=[1]Legend!$A$73, [1]Legend!$B$73, IF(J148=[1]Legend!$A$74, [1]Legend!$B$74, "")))))))))))</f>
        <v>9</v>
      </c>
      <c r="L148" s="5">
        <v>9</v>
      </c>
      <c r="M148" s="5"/>
      <c r="N148" s="5"/>
      <c r="O148" s="5"/>
    </row>
    <row r="149" spans="1:15" ht="14" customHeight="1" x14ac:dyDescent="0.45">
      <c r="A149" s="7">
        <v>45553</v>
      </c>
      <c r="B149" s="5" t="s">
        <v>59</v>
      </c>
      <c r="C149" s="5"/>
      <c r="D149" s="5">
        <v>1</v>
      </c>
      <c r="E149" s="5">
        <v>9</v>
      </c>
      <c r="F149" s="5">
        <v>2</v>
      </c>
      <c r="G149" s="7">
        <v>45587</v>
      </c>
      <c r="H149" s="5" t="s">
        <v>17</v>
      </c>
      <c r="I149" s="5">
        <v>3</v>
      </c>
      <c r="J149" s="5" t="s">
        <v>60</v>
      </c>
      <c r="K149" s="6">
        <f>IF(J149=[1]Legend!$A$66,[1]Legend!$B$66,(IF(J149=[1]Legend!$A$67,[1]Legend!$B$67,IF(J149=[1]Legend!$A$68, [1]Legend!$B$68, IF(J149=[1]Legend!$A$69, [1]Legend!$B$69, IF(J149=[1]Legend!$A$70, [1]Legend!$B$70, IF(J149=[1]Legend!$A$71, [1]Legend!$B$71, IF(J149=[1]Legend!$A$72, [1]Legend!$B$72, (IF(J149=[1]Legend!$A$73, [1]Legend!$B$73, IF(J149=[1]Legend!$A$74, [1]Legend!$B$74, "")))))))))))</f>
        <v>25</v>
      </c>
      <c r="L149" s="5">
        <v>25</v>
      </c>
      <c r="M149" s="5"/>
      <c r="N149" s="5"/>
      <c r="O149" s="5"/>
    </row>
    <row r="150" spans="1:15" ht="14" customHeight="1" x14ac:dyDescent="0.45">
      <c r="A150" s="7">
        <v>45553</v>
      </c>
      <c r="B150" s="5" t="s">
        <v>59</v>
      </c>
      <c r="C150" s="5"/>
      <c r="D150" s="5">
        <v>1</v>
      </c>
      <c r="E150" s="5">
        <v>9</v>
      </c>
      <c r="F150" s="5">
        <v>2</v>
      </c>
      <c r="G150" s="7">
        <v>45587</v>
      </c>
      <c r="H150" s="5" t="s">
        <v>17</v>
      </c>
      <c r="I150" s="5">
        <v>3</v>
      </c>
      <c r="J150" s="5" t="s">
        <v>18</v>
      </c>
      <c r="K150" s="6">
        <f>IF(J150=[1]Legend!$A$66,[1]Legend!$B$66,(IF(J150=[1]Legend!$A$67,[1]Legend!$B$67,IF(J150=[1]Legend!$A$68, [1]Legend!$B$68, IF(J150=[1]Legend!$A$69, [1]Legend!$B$69, IF(J150=[1]Legend!$A$70, [1]Legend!$B$70, IF(J150=[1]Legend!$A$71, [1]Legend!$B$71, IF(J150=[1]Legend!$A$72, [1]Legend!$B$72, (IF(J150=[1]Legend!$A$73, [1]Legend!$B$73, IF(J150=[1]Legend!$A$74, [1]Legend!$B$74, "")))))))))))</f>
        <v>5</v>
      </c>
      <c r="L150" s="5">
        <v>5</v>
      </c>
      <c r="M150" s="5"/>
      <c r="N150" s="5"/>
      <c r="O150" s="5"/>
    </row>
    <row r="151" spans="1:15" ht="14" customHeight="1" x14ac:dyDescent="0.45">
      <c r="A151" s="7">
        <v>45553</v>
      </c>
      <c r="B151" s="5" t="s">
        <v>59</v>
      </c>
      <c r="C151" s="5"/>
      <c r="D151" s="5">
        <v>1</v>
      </c>
      <c r="E151" s="5">
        <v>9</v>
      </c>
      <c r="F151" s="5">
        <v>2</v>
      </c>
      <c r="G151" s="7">
        <v>45587</v>
      </c>
      <c r="H151" s="5" t="s">
        <v>17</v>
      </c>
      <c r="I151" s="5">
        <v>3</v>
      </c>
      <c r="J151" s="5" t="s">
        <v>19</v>
      </c>
      <c r="K151" s="6">
        <f>IF(J151=[1]Legend!$A$66,[1]Legend!$B$66,(IF(J151=[1]Legend!$A$67,[1]Legend!$B$67,IF(J151=[1]Legend!$A$68, [1]Legend!$B$68, IF(J151=[1]Legend!$A$69, [1]Legend!$B$69, IF(J151=[1]Legend!$A$70, [1]Legend!$B$70, IF(J151=[1]Legend!$A$71, [1]Legend!$B$71, IF(J151=[1]Legend!$A$72, [1]Legend!$B$72, (IF(J151=[1]Legend!$A$73, [1]Legend!$B$73, IF(J151=[1]Legend!$A$74, [1]Legend!$B$74, "")))))))))))</f>
        <v>9</v>
      </c>
      <c r="L151" s="5">
        <v>9</v>
      </c>
      <c r="M151" s="5"/>
      <c r="N151" s="5"/>
      <c r="O151" s="5"/>
    </row>
    <row r="152" spans="1:15" ht="14" customHeight="1" x14ac:dyDescent="0.45">
      <c r="A152" s="7">
        <v>45560</v>
      </c>
      <c r="B152" s="5" t="s">
        <v>59</v>
      </c>
      <c r="C152" s="5" t="s">
        <v>16</v>
      </c>
      <c r="D152" s="5">
        <v>2</v>
      </c>
      <c r="E152" s="5">
        <v>9</v>
      </c>
      <c r="F152" s="5">
        <v>1</v>
      </c>
      <c r="G152" s="7">
        <v>45561</v>
      </c>
      <c r="H152" s="5" t="s">
        <v>108</v>
      </c>
      <c r="I152" s="5">
        <v>3</v>
      </c>
      <c r="J152" s="5" t="s">
        <v>60</v>
      </c>
      <c r="K152" s="6">
        <f>IF(J152=[7]Legend!$A$66,[7]Legend!$B$66,(IF(J152=[7]Legend!$A$67,[7]Legend!$B$67,IF(J152=[7]Legend!$A$68, [7]Legend!$B$68, IF(J152=[7]Legend!$A$69, [7]Legend!$B$69, IF(J152=[7]Legend!$A$70, [7]Legend!$B$70, IF(J152=[7]Legend!$A$71, [7]Legend!$B$71, IF(J152=[7]Legend!$A$72, [7]Legend!$B$72, (IF(J152=[7]Legend!$A$73, [7]Legend!$B$73, IF(J152=[7]Legend!$A$74, [7]Legend!$B$74, "")))))))))))</f>
        <v>25</v>
      </c>
      <c r="L152" s="5">
        <v>25</v>
      </c>
      <c r="M152" s="5"/>
      <c r="N152" s="5"/>
      <c r="O152" s="5"/>
    </row>
    <row r="153" spans="1:15" ht="14" customHeight="1" x14ac:dyDescent="0.45">
      <c r="A153" s="7">
        <v>45560</v>
      </c>
      <c r="B153" s="5" t="s">
        <v>59</v>
      </c>
      <c r="C153" s="5" t="s">
        <v>16</v>
      </c>
      <c r="D153" s="5">
        <v>2</v>
      </c>
      <c r="E153" s="5">
        <v>9</v>
      </c>
      <c r="F153" s="5">
        <v>1</v>
      </c>
      <c r="G153" s="7">
        <v>45561</v>
      </c>
      <c r="H153" s="5" t="s">
        <v>108</v>
      </c>
      <c r="I153" s="5">
        <v>3</v>
      </c>
      <c r="J153" s="5" t="s">
        <v>18</v>
      </c>
      <c r="K153" s="6">
        <f>IF(J153=[7]Legend!$A$66,[7]Legend!$B$66,(IF(J153=[7]Legend!$A$67,[7]Legend!$B$67,IF(J153=[7]Legend!$A$68, [7]Legend!$B$68, IF(J153=[7]Legend!$A$69, [7]Legend!$B$69, IF(J153=[7]Legend!$A$70, [7]Legend!$B$70, IF(J153=[7]Legend!$A$71, [7]Legend!$B$71, IF(J153=[7]Legend!$A$72, [7]Legend!$B$72, (IF(J153=[7]Legend!$A$73, [7]Legend!$B$73, IF(J153=[7]Legend!$A$74, [7]Legend!$B$74, "")))))))))))</f>
        <v>5</v>
      </c>
      <c r="L153" s="5">
        <v>5</v>
      </c>
      <c r="M153" s="5"/>
      <c r="N153" s="5"/>
      <c r="O153" s="5"/>
    </row>
    <row r="154" spans="1:15" ht="14" customHeight="1" x14ac:dyDescent="0.45">
      <c r="A154" s="7">
        <v>45560</v>
      </c>
      <c r="B154" s="5" t="s">
        <v>59</v>
      </c>
      <c r="C154" s="5" t="s">
        <v>16</v>
      </c>
      <c r="D154" s="5">
        <v>2</v>
      </c>
      <c r="E154" s="5">
        <v>9</v>
      </c>
      <c r="F154" s="5">
        <v>1</v>
      </c>
      <c r="G154" s="7">
        <v>45561</v>
      </c>
      <c r="H154" s="5" t="s">
        <v>108</v>
      </c>
      <c r="I154" s="5">
        <v>3</v>
      </c>
      <c r="J154" s="5" t="s">
        <v>19</v>
      </c>
      <c r="K154" s="6">
        <f>IF(J154=[7]Legend!$A$66,[7]Legend!$B$66,(IF(J154=[7]Legend!$A$67,[7]Legend!$B$67,IF(J154=[7]Legend!$A$68, [7]Legend!$B$68, IF(J154=[7]Legend!$A$69, [7]Legend!$B$69, IF(J154=[7]Legend!$A$70, [7]Legend!$B$70, IF(J154=[7]Legend!$A$71, [7]Legend!$B$71, IF(J154=[7]Legend!$A$72, [7]Legend!$B$72, (IF(J154=[7]Legend!$A$73, [7]Legend!$B$73, IF(J154=[7]Legend!$A$74, [7]Legend!$B$74, "")))))))))))</f>
        <v>9</v>
      </c>
      <c r="L154" s="5">
        <v>9</v>
      </c>
      <c r="M154" s="5"/>
      <c r="N154" s="5"/>
      <c r="O154" s="5"/>
    </row>
    <row r="155" spans="1:15" ht="14" customHeight="1" x14ac:dyDescent="0.45">
      <c r="A155" s="7">
        <v>45560</v>
      </c>
      <c r="B155" s="5" t="s">
        <v>59</v>
      </c>
      <c r="C155" s="5" t="s">
        <v>16</v>
      </c>
      <c r="D155" s="5">
        <v>2</v>
      </c>
      <c r="E155" s="5">
        <v>9</v>
      </c>
      <c r="F155" s="5">
        <v>2</v>
      </c>
      <c r="G155" s="7">
        <v>45561</v>
      </c>
      <c r="H155" s="5" t="s">
        <v>108</v>
      </c>
      <c r="I155" s="5">
        <v>3</v>
      </c>
      <c r="J155" s="5" t="s">
        <v>60</v>
      </c>
      <c r="K155" s="6">
        <f>IF(J155=[7]Legend!$A$66,[7]Legend!$B$66,(IF(J155=[7]Legend!$A$67,[7]Legend!$B$67,IF(J155=[7]Legend!$A$68, [7]Legend!$B$68, IF(J155=[7]Legend!$A$69, [7]Legend!$B$69, IF(J155=[7]Legend!$A$70, [7]Legend!$B$70, IF(J155=[7]Legend!$A$71, [7]Legend!$B$71, IF(J155=[7]Legend!$A$72, [7]Legend!$B$72, (IF(J155=[7]Legend!$A$73, [7]Legend!$B$73, IF(J155=[7]Legend!$A$74, [7]Legend!$B$74, "")))))))))))</f>
        <v>25</v>
      </c>
      <c r="L155" s="5">
        <v>25</v>
      </c>
      <c r="M155" s="5"/>
      <c r="N155" s="5"/>
      <c r="O155" s="5"/>
    </row>
    <row r="156" spans="1:15" ht="14" customHeight="1" x14ac:dyDescent="0.45">
      <c r="A156" s="7">
        <v>45560</v>
      </c>
      <c r="B156" s="5" t="s">
        <v>59</v>
      </c>
      <c r="C156" s="5" t="s">
        <v>16</v>
      </c>
      <c r="D156" s="5">
        <v>2</v>
      </c>
      <c r="E156" s="5">
        <v>9</v>
      </c>
      <c r="F156" s="5">
        <v>2</v>
      </c>
      <c r="G156" s="7">
        <v>45561</v>
      </c>
      <c r="H156" s="5" t="s">
        <v>108</v>
      </c>
      <c r="I156" s="5">
        <v>3</v>
      </c>
      <c r="J156" s="5" t="s">
        <v>18</v>
      </c>
      <c r="K156" s="6">
        <f>IF(J156=[7]Legend!$A$66,[7]Legend!$B$66,(IF(J156=[7]Legend!$A$67,[7]Legend!$B$67,IF(J156=[7]Legend!$A$68, [7]Legend!$B$68, IF(J156=[7]Legend!$A$69, [7]Legend!$B$69, IF(J156=[7]Legend!$A$70, [7]Legend!$B$70, IF(J156=[7]Legend!$A$71, [7]Legend!$B$71, IF(J156=[7]Legend!$A$72, [7]Legend!$B$72, (IF(J156=[7]Legend!$A$73, [7]Legend!$B$73, IF(J156=[7]Legend!$A$74, [7]Legend!$B$74, "")))))))))))</f>
        <v>5</v>
      </c>
      <c r="L156" s="5">
        <v>5</v>
      </c>
      <c r="M156" s="5"/>
      <c r="N156" s="5"/>
      <c r="O156" s="5"/>
    </row>
    <row r="157" spans="1:15" ht="14" customHeight="1" x14ac:dyDescent="0.45">
      <c r="A157" s="7">
        <v>45560</v>
      </c>
      <c r="B157" s="5" t="s">
        <v>59</v>
      </c>
      <c r="C157" s="5" t="s">
        <v>16</v>
      </c>
      <c r="D157" s="5">
        <v>2</v>
      </c>
      <c r="E157" s="5">
        <v>9</v>
      </c>
      <c r="F157" s="5">
        <v>2</v>
      </c>
      <c r="G157" s="7">
        <v>45561</v>
      </c>
      <c r="H157" s="5" t="s">
        <v>108</v>
      </c>
      <c r="I157" s="5">
        <v>3</v>
      </c>
      <c r="J157" s="5" t="s">
        <v>19</v>
      </c>
      <c r="K157" s="6">
        <f>IF(J157=[7]Legend!$A$66,[7]Legend!$B$66,(IF(J157=[7]Legend!$A$67,[7]Legend!$B$67,IF(J157=[7]Legend!$A$68, [7]Legend!$B$68, IF(J157=[7]Legend!$A$69, [7]Legend!$B$69, IF(J157=[7]Legend!$A$70, [7]Legend!$B$70, IF(J157=[7]Legend!$A$71, [7]Legend!$B$71, IF(J157=[7]Legend!$A$72, [7]Legend!$B$72, (IF(J157=[7]Legend!$A$73, [7]Legend!$B$73, IF(J157=[7]Legend!$A$74, [7]Legend!$B$74, "")))))))))))</f>
        <v>9</v>
      </c>
      <c r="L157" s="5">
        <v>9</v>
      </c>
      <c r="M157" s="5"/>
      <c r="N157" s="5"/>
      <c r="O157" s="5"/>
    </row>
    <row r="158" spans="1:15" ht="14" customHeight="1" x14ac:dyDescent="0.45">
      <c r="A158" s="7">
        <v>45567</v>
      </c>
      <c r="B158" s="5" t="s">
        <v>59</v>
      </c>
      <c r="C158" s="5" t="s">
        <v>132</v>
      </c>
      <c r="D158" s="5">
        <v>3</v>
      </c>
      <c r="E158" s="5">
        <v>9</v>
      </c>
      <c r="F158" s="5">
        <v>2</v>
      </c>
      <c r="G158" s="7">
        <v>45714</v>
      </c>
      <c r="H158" s="5" t="s">
        <v>91</v>
      </c>
      <c r="I158" s="5">
        <v>3</v>
      </c>
      <c r="J158" s="5" t="s">
        <v>60</v>
      </c>
      <c r="K158" s="6">
        <f>IF(J158=[14]Legend!$A$67,[14]Legend!$B$67,(IF(J158=[14]Legend!$A$68,[14]Legend!$B$68,IF(J158=[14]Legend!$A$69, [14]Legend!$B$69, IF(J158=[14]Legend!$A$70, [14]Legend!$B$70, IF(J158=[14]Legend!$A$71, [14]Legend!$B$71, IF(J158=[14]Legend!$A$72, [14]Legend!$B$72, IF(J158=[14]Legend!$A$73, [14]Legend!$B$73, (IF(J158=[14]Legend!$A$74, [14]Legend!$B$74, IF(J158=[14]Legend!$A$75, [14]Legend!$B$75, "")))))))))))</f>
        <v>25</v>
      </c>
      <c r="L158" s="5">
        <v>25</v>
      </c>
      <c r="M158" s="5">
        <v>0</v>
      </c>
      <c r="N158" s="5"/>
      <c r="O158" s="5"/>
    </row>
    <row r="159" spans="1:15" ht="14" customHeight="1" x14ac:dyDescent="0.45">
      <c r="A159" s="7">
        <v>45567</v>
      </c>
      <c r="B159" s="5" t="s">
        <v>59</v>
      </c>
      <c r="C159" s="5" t="s">
        <v>132</v>
      </c>
      <c r="D159" s="5">
        <v>3</v>
      </c>
      <c r="E159" s="5">
        <v>9</v>
      </c>
      <c r="F159" s="5">
        <v>2</v>
      </c>
      <c r="G159" s="7">
        <v>45714</v>
      </c>
      <c r="H159" s="5" t="s">
        <v>91</v>
      </c>
      <c r="I159" s="5">
        <v>3</v>
      </c>
      <c r="J159" s="5" t="s">
        <v>18</v>
      </c>
      <c r="K159" s="6">
        <f>IF(J159=[14]Legend!$A$67,[14]Legend!$B$67,(IF(J159=[14]Legend!$A$68,[14]Legend!$B$68,IF(J159=[14]Legend!$A$69, [14]Legend!$B$69, IF(J159=[14]Legend!$A$70, [14]Legend!$B$70, IF(J159=[14]Legend!$A$71, [14]Legend!$B$71, IF(J159=[14]Legend!$A$72, [14]Legend!$B$72, IF(J159=[14]Legend!$A$73, [14]Legend!$B$73, (IF(J159=[14]Legend!$A$74, [14]Legend!$B$74, IF(J159=[14]Legend!$A$75, [14]Legend!$B$75, "")))))))))))</f>
        <v>5</v>
      </c>
      <c r="L159" s="5">
        <v>5</v>
      </c>
      <c r="M159" s="5">
        <v>0</v>
      </c>
      <c r="N159" s="5"/>
      <c r="O159" s="5"/>
    </row>
    <row r="160" spans="1:15" ht="14" customHeight="1" x14ac:dyDescent="0.45">
      <c r="A160" s="7">
        <v>45567</v>
      </c>
      <c r="B160" s="5" t="s">
        <v>59</v>
      </c>
      <c r="C160" s="5" t="s">
        <v>132</v>
      </c>
      <c r="D160" s="5">
        <v>3</v>
      </c>
      <c r="E160" s="5">
        <v>9</v>
      </c>
      <c r="F160" s="5">
        <v>2</v>
      </c>
      <c r="G160" s="7">
        <v>45714</v>
      </c>
      <c r="H160" s="5" t="s">
        <v>91</v>
      </c>
      <c r="I160" s="5">
        <v>3</v>
      </c>
      <c r="J160" s="5" t="s">
        <v>19</v>
      </c>
      <c r="K160" s="6">
        <f>IF(J160=[14]Legend!$A$67,[14]Legend!$B$67,(IF(J160=[14]Legend!$A$68,[14]Legend!$B$68,IF(J160=[14]Legend!$A$69, [14]Legend!$B$69, IF(J160=[14]Legend!$A$70, [14]Legend!$B$70, IF(J160=[14]Legend!$A$71, [14]Legend!$B$71, IF(J160=[14]Legend!$A$72, [14]Legend!$B$72, IF(J160=[14]Legend!$A$73, [14]Legend!$B$73, (IF(J160=[14]Legend!$A$74, [14]Legend!$B$74, IF(J160=[14]Legend!$A$75, [14]Legend!$B$75, "")))))))))))</f>
        <v>9</v>
      </c>
      <c r="L160" s="5">
        <v>9</v>
      </c>
      <c r="M160" s="5">
        <v>0</v>
      </c>
      <c r="N160" s="5"/>
      <c r="O160" s="5"/>
    </row>
    <row r="161" spans="1:15" ht="14" customHeight="1" x14ac:dyDescent="0.45">
      <c r="A161" s="7">
        <v>45567</v>
      </c>
      <c r="B161" s="5" t="s">
        <v>59</v>
      </c>
      <c r="C161" s="5" t="s">
        <v>132</v>
      </c>
      <c r="D161" s="5">
        <v>3</v>
      </c>
      <c r="E161" s="5">
        <v>9</v>
      </c>
      <c r="F161" s="5">
        <v>1</v>
      </c>
      <c r="G161" s="7">
        <v>45719</v>
      </c>
      <c r="H161" s="5" t="s">
        <v>91</v>
      </c>
      <c r="I161" s="5">
        <v>3</v>
      </c>
      <c r="J161" s="5" t="s">
        <v>60</v>
      </c>
      <c r="K161" s="6">
        <f>IF(J161=[14]Legend!$A$67,[14]Legend!$B$67,(IF(J161=[14]Legend!$A$68,[14]Legend!$B$68,IF(J161=[14]Legend!$A$69, [14]Legend!$B$69, IF(J161=[14]Legend!$A$70, [14]Legend!$B$70, IF(J161=[14]Legend!$A$71, [14]Legend!$B$71, IF(J161=[14]Legend!$A$72, [14]Legend!$B$72, IF(J161=[14]Legend!$A$73, [14]Legend!$B$73, (IF(J161=[14]Legend!$A$74, [14]Legend!$B$74, IF(J161=[14]Legend!$A$75, [14]Legend!$B$75, "")))))))))))</f>
        <v>25</v>
      </c>
      <c r="L161" s="5">
        <v>6</v>
      </c>
      <c r="M161" s="5">
        <v>3</v>
      </c>
      <c r="N161" s="5" t="s">
        <v>23</v>
      </c>
      <c r="O161" s="5" t="s">
        <v>161</v>
      </c>
    </row>
    <row r="162" spans="1:15" ht="14" customHeight="1" x14ac:dyDescent="0.45">
      <c r="A162" s="7">
        <v>45567</v>
      </c>
      <c r="B162" s="5" t="s">
        <v>59</v>
      </c>
      <c r="C162" s="5" t="s">
        <v>132</v>
      </c>
      <c r="D162" s="5">
        <v>3</v>
      </c>
      <c r="E162" s="5">
        <v>9</v>
      </c>
      <c r="F162" s="5">
        <v>1</v>
      </c>
      <c r="G162" s="7">
        <v>45719</v>
      </c>
      <c r="H162" s="5" t="s">
        <v>91</v>
      </c>
      <c r="I162" s="5">
        <v>3</v>
      </c>
      <c r="J162" s="5" t="s">
        <v>18</v>
      </c>
      <c r="K162" s="6">
        <f>IF(J162=[14]Legend!$A$67,[14]Legend!$B$67,(IF(J162=[14]Legend!$A$68,[14]Legend!$B$68,IF(J162=[14]Legend!$A$69, [14]Legend!$B$69, IF(J162=[14]Legend!$A$70, [14]Legend!$B$70, IF(J162=[14]Legend!$A$71, [14]Legend!$B$71, IF(J162=[14]Legend!$A$72, [14]Legend!$B$72, IF(J162=[14]Legend!$A$73, [14]Legend!$B$73, (IF(J162=[14]Legend!$A$74, [14]Legend!$B$74, IF(J162=[14]Legend!$A$75, [14]Legend!$B$75, "")))))))))))</f>
        <v>5</v>
      </c>
      <c r="L162" s="5">
        <v>0</v>
      </c>
      <c r="M162" s="5">
        <v>0</v>
      </c>
      <c r="N162" s="5"/>
      <c r="O162" s="5"/>
    </row>
    <row r="163" spans="1:15" ht="14" customHeight="1" x14ac:dyDescent="0.45">
      <c r="A163" s="7">
        <v>45567</v>
      </c>
      <c r="B163" s="5" t="s">
        <v>59</v>
      </c>
      <c r="C163" s="5" t="s">
        <v>132</v>
      </c>
      <c r="D163" s="5">
        <v>3</v>
      </c>
      <c r="E163" s="5">
        <v>9</v>
      </c>
      <c r="F163" s="5">
        <v>1</v>
      </c>
      <c r="G163" s="7">
        <v>45719</v>
      </c>
      <c r="H163" s="5" t="s">
        <v>91</v>
      </c>
      <c r="I163" s="5">
        <v>3</v>
      </c>
      <c r="J163" s="5" t="s">
        <v>19</v>
      </c>
      <c r="K163" s="6">
        <f>IF(J163=[14]Legend!$A$67,[14]Legend!$B$67,(IF(J163=[14]Legend!$A$68,[14]Legend!$B$68,IF(J163=[14]Legend!$A$69, [14]Legend!$B$69, IF(J163=[14]Legend!$A$70, [14]Legend!$B$70, IF(J163=[14]Legend!$A$71, [14]Legend!$B$71, IF(J163=[14]Legend!$A$72, [14]Legend!$B$72, IF(J163=[14]Legend!$A$73, [14]Legend!$B$73, (IF(J163=[14]Legend!$A$74, [14]Legend!$B$74, IF(J163=[14]Legend!$A$75, [14]Legend!$B$75, "")))))))))))</f>
        <v>9</v>
      </c>
      <c r="L163" s="5">
        <v>2</v>
      </c>
      <c r="M163" s="5">
        <v>1</v>
      </c>
      <c r="N163" s="5" t="s">
        <v>21</v>
      </c>
      <c r="O163" s="5" t="s">
        <v>162</v>
      </c>
    </row>
    <row r="164" spans="1:15" ht="14" customHeight="1" x14ac:dyDescent="0.45">
      <c r="A164" s="7">
        <v>45553</v>
      </c>
      <c r="B164" s="5" t="s">
        <v>59</v>
      </c>
      <c r="C164" s="5"/>
      <c r="D164" s="5">
        <v>1</v>
      </c>
      <c r="E164" s="5">
        <v>10</v>
      </c>
      <c r="F164" s="5">
        <v>1</v>
      </c>
      <c r="G164" s="7">
        <v>45587</v>
      </c>
      <c r="H164" s="5" t="s">
        <v>17</v>
      </c>
      <c r="I164" s="5">
        <v>3</v>
      </c>
      <c r="J164" s="5" t="s">
        <v>60</v>
      </c>
      <c r="K164" s="6">
        <f>IF(J164=[1]Legend!$A$66,[1]Legend!$B$66,(IF(J164=[1]Legend!$A$67,[1]Legend!$B$67,IF(J164=[1]Legend!$A$68, [1]Legend!$B$68, IF(J164=[1]Legend!$A$69, [1]Legend!$B$69, IF(J164=[1]Legend!$A$70, [1]Legend!$B$70, IF(J164=[1]Legend!$A$71, [1]Legend!$B$71, IF(J164=[1]Legend!$A$72, [1]Legend!$B$72, (IF(J164=[1]Legend!$A$73, [1]Legend!$B$73, IF(J164=[1]Legend!$A$74, [1]Legend!$B$74, "")))))))))))</f>
        <v>25</v>
      </c>
      <c r="L164" s="5">
        <v>25</v>
      </c>
      <c r="M164" s="5"/>
      <c r="N164" s="5"/>
      <c r="O164" s="5" t="s">
        <v>62</v>
      </c>
    </row>
    <row r="165" spans="1:15" ht="14" customHeight="1" x14ac:dyDescent="0.45">
      <c r="A165" s="7">
        <v>45553</v>
      </c>
      <c r="B165" s="5" t="s">
        <v>59</v>
      </c>
      <c r="C165" s="5"/>
      <c r="D165" s="5">
        <v>1</v>
      </c>
      <c r="E165" s="5">
        <v>10</v>
      </c>
      <c r="F165" s="5">
        <v>1</v>
      </c>
      <c r="G165" s="7">
        <v>45587</v>
      </c>
      <c r="H165" s="5" t="s">
        <v>17</v>
      </c>
      <c r="I165" s="5">
        <v>3</v>
      </c>
      <c r="J165" s="5" t="s">
        <v>18</v>
      </c>
      <c r="K165" s="6">
        <f>IF(J165=[1]Legend!$A$66,[1]Legend!$B$66,(IF(J165=[1]Legend!$A$67,[1]Legend!$B$67,IF(J165=[1]Legend!$A$68, [1]Legend!$B$68, IF(J165=[1]Legend!$A$69, [1]Legend!$B$69, IF(J165=[1]Legend!$A$70, [1]Legend!$B$70, IF(J165=[1]Legend!$A$71, [1]Legend!$B$71, IF(J165=[1]Legend!$A$72, [1]Legend!$B$72, (IF(J165=[1]Legend!$A$73, [1]Legend!$B$73, IF(J165=[1]Legend!$A$74, [1]Legend!$B$74, "")))))))))))</f>
        <v>5</v>
      </c>
      <c r="L165" s="5">
        <v>5</v>
      </c>
      <c r="M165" s="5"/>
      <c r="N165" s="5"/>
      <c r="O165" s="5"/>
    </row>
    <row r="166" spans="1:15" ht="14" customHeight="1" x14ac:dyDescent="0.45">
      <c r="A166" s="7">
        <v>45553</v>
      </c>
      <c r="B166" s="5" t="s">
        <v>59</v>
      </c>
      <c r="C166" s="5"/>
      <c r="D166" s="5">
        <v>1</v>
      </c>
      <c r="E166" s="5">
        <v>10</v>
      </c>
      <c r="F166" s="5">
        <v>1</v>
      </c>
      <c r="G166" s="7">
        <v>45587</v>
      </c>
      <c r="H166" s="5" t="s">
        <v>17</v>
      </c>
      <c r="I166" s="5">
        <v>3</v>
      </c>
      <c r="J166" s="5" t="s">
        <v>19</v>
      </c>
      <c r="K166" s="6">
        <f>IF(J166=[1]Legend!$A$66,[1]Legend!$B$66,(IF(J166=[1]Legend!$A$67,[1]Legend!$B$67,IF(J166=[1]Legend!$A$68, [1]Legend!$B$68, IF(J166=[1]Legend!$A$69, [1]Legend!$B$69, IF(J166=[1]Legend!$A$70, [1]Legend!$B$70, IF(J166=[1]Legend!$A$71, [1]Legend!$B$71, IF(J166=[1]Legend!$A$72, [1]Legend!$B$72, (IF(J166=[1]Legend!$A$73, [1]Legend!$B$73, IF(J166=[1]Legend!$A$74, [1]Legend!$B$74, "")))))))))))</f>
        <v>9</v>
      </c>
      <c r="L166" s="5">
        <v>9</v>
      </c>
      <c r="M166" s="5"/>
      <c r="N166" s="5"/>
      <c r="O166" s="5"/>
    </row>
    <row r="167" spans="1:15" ht="14" customHeight="1" x14ac:dyDescent="0.45">
      <c r="A167" s="7">
        <v>45553</v>
      </c>
      <c r="B167" s="5" t="s">
        <v>59</v>
      </c>
      <c r="C167" s="5"/>
      <c r="D167" s="5">
        <v>1</v>
      </c>
      <c r="E167" s="5">
        <v>10</v>
      </c>
      <c r="F167" s="5">
        <v>2</v>
      </c>
      <c r="G167" s="7">
        <v>45587</v>
      </c>
      <c r="H167" s="5" t="s">
        <v>17</v>
      </c>
      <c r="I167" s="5">
        <v>3</v>
      </c>
      <c r="J167" s="5" t="s">
        <v>60</v>
      </c>
      <c r="K167" s="6">
        <f>IF(J167=[1]Legend!$A$66,[1]Legend!$B$66,(IF(J167=[1]Legend!$A$67,[1]Legend!$B$67,IF(J167=[1]Legend!$A$68, [1]Legend!$B$68, IF(J167=[1]Legend!$A$69, [1]Legend!$B$69, IF(J167=[1]Legend!$A$70, [1]Legend!$B$70, IF(J167=[1]Legend!$A$71, [1]Legend!$B$71, IF(J167=[1]Legend!$A$72, [1]Legend!$B$72, (IF(J167=[1]Legend!$A$73, [1]Legend!$B$73, IF(J167=[1]Legend!$A$74, [1]Legend!$B$74, "")))))))))))</f>
        <v>25</v>
      </c>
      <c r="L167" s="5">
        <v>25</v>
      </c>
      <c r="M167" s="5"/>
      <c r="N167" s="5"/>
      <c r="O167" s="5" t="s">
        <v>63</v>
      </c>
    </row>
    <row r="168" spans="1:15" ht="14" customHeight="1" x14ac:dyDescent="0.45">
      <c r="A168" s="7">
        <v>45553</v>
      </c>
      <c r="B168" s="5" t="s">
        <v>59</v>
      </c>
      <c r="C168" s="5"/>
      <c r="D168" s="5">
        <v>1</v>
      </c>
      <c r="E168" s="5">
        <v>10</v>
      </c>
      <c r="F168" s="5">
        <v>2</v>
      </c>
      <c r="G168" s="7">
        <v>45587</v>
      </c>
      <c r="H168" s="5" t="s">
        <v>17</v>
      </c>
      <c r="I168" s="5">
        <v>3</v>
      </c>
      <c r="J168" s="5" t="s">
        <v>18</v>
      </c>
      <c r="K168" s="6">
        <f>IF(J168=[1]Legend!$A$66,[1]Legend!$B$66,(IF(J168=[1]Legend!$A$67,[1]Legend!$B$67,IF(J168=[1]Legend!$A$68, [1]Legend!$B$68, IF(J168=[1]Legend!$A$69, [1]Legend!$B$69, IF(J168=[1]Legend!$A$70, [1]Legend!$B$70, IF(J168=[1]Legend!$A$71, [1]Legend!$B$71, IF(J168=[1]Legend!$A$72, [1]Legend!$B$72, (IF(J168=[1]Legend!$A$73, [1]Legend!$B$73, IF(J168=[1]Legend!$A$74, [1]Legend!$B$74, "")))))))))))</f>
        <v>5</v>
      </c>
      <c r="L168" s="5">
        <v>5</v>
      </c>
      <c r="M168" s="5"/>
      <c r="N168" s="5"/>
      <c r="O168" s="5"/>
    </row>
    <row r="169" spans="1:15" ht="14" customHeight="1" x14ac:dyDescent="0.45">
      <c r="A169" s="7">
        <v>45553</v>
      </c>
      <c r="B169" s="5" t="s">
        <v>59</v>
      </c>
      <c r="C169" s="5"/>
      <c r="D169" s="5">
        <v>1</v>
      </c>
      <c r="E169" s="5">
        <v>10</v>
      </c>
      <c r="F169" s="5">
        <v>2</v>
      </c>
      <c r="G169" s="7">
        <v>45587</v>
      </c>
      <c r="H169" s="5" t="s">
        <v>17</v>
      </c>
      <c r="I169" s="5">
        <v>3</v>
      </c>
      <c r="J169" s="5" t="s">
        <v>19</v>
      </c>
      <c r="K169" s="6">
        <f>IF(J169=[1]Legend!$A$66,[1]Legend!$B$66,(IF(J169=[1]Legend!$A$67,[1]Legend!$B$67,IF(J169=[1]Legend!$A$68, [1]Legend!$B$68, IF(J169=[1]Legend!$A$69, [1]Legend!$B$69, IF(J169=[1]Legend!$A$70, [1]Legend!$B$70, IF(J169=[1]Legend!$A$71, [1]Legend!$B$71, IF(J169=[1]Legend!$A$72, [1]Legend!$B$72, (IF(J169=[1]Legend!$A$73, [1]Legend!$B$73, IF(J169=[1]Legend!$A$74, [1]Legend!$B$74, "")))))))))))</f>
        <v>9</v>
      </c>
      <c r="L169" s="5">
        <v>9</v>
      </c>
      <c r="M169" s="5"/>
      <c r="N169" s="5"/>
      <c r="O169" s="5"/>
    </row>
    <row r="170" spans="1:15" ht="14" customHeight="1" x14ac:dyDescent="0.45">
      <c r="A170" s="7">
        <v>45560</v>
      </c>
      <c r="B170" s="5" t="s">
        <v>59</v>
      </c>
      <c r="C170" s="5" t="s">
        <v>16</v>
      </c>
      <c r="D170" s="5">
        <v>2</v>
      </c>
      <c r="E170" s="5">
        <v>10</v>
      </c>
      <c r="F170" s="5">
        <v>1</v>
      </c>
      <c r="G170" s="7">
        <v>45561</v>
      </c>
      <c r="H170" s="5" t="s">
        <v>108</v>
      </c>
      <c r="I170" s="5">
        <v>3</v>
      </c>
      <c r="J170" s="5" t="s">
        <v>60</v>
      </c>
      <c r="K170" s="6">
        <f>IF(J170=[7]Legend!$A$66,[7]Legend!$B$66,(IF(J170=[7]Legend!$A$67,[7]Legend!$B$67,IF(J170=[7]Legend!$A$68, [7]Legend!$B$68, IF(J170=[7]Legend!$A$69, [7]Legend!$B$69, IF(J170=[7]Legend!$A$70, [7]Legend!$B$70, IF(J170=[7]Legend!$A$71, [7]Legend!$B$71, IF(J170=[7]Legend!$A$72, [7]Legend!$B$72, (IF(J170=[7]Legend!$A$73, [7]Legend!$B$73, IF(J170=[7]Legend!$A$74, [7]Legend!$B$74, "")))))))))))</f>
        <v>25</v>
      </c>
      <c r="L170" s="5">
        <v>0</v>
      </c>
      <c r="M170" s="5"/>
      <c r="N170" s="5"/>
      <c r="O170" s="5"/>
    </row>
    <row r="171" spans="1:15" ht="14" customHeight="1" x14ac:dyDescent="0.45">
      <c r="A171" s="7">
        <v>45560</v>
      </c>
      <c r="B171" s="5" t="s">
        <v>59</v>
      </c>
      <c r="C171" s="5" t="s">
        <v>16</v>
      </c>
      <c r="D171" s="5">
        <v>2</v>
      </c>
      <c r="E171" s="5">
        <v>10</v>
      </c>
      <c r="F171" s="5">
        <v>1</v>
      </c>
      <c r="G171" s="7">
        <v>45561</v>
      </c>
      <c r="H171" s="5" t="s">
        <v>108</v>
      </c>
      <c r="I171" s="5">
        <v>3</v>
      </c>
      <c r="J171" s="5" t="s">
        <v>18</v>
      </c>
      <c r="K171" s="6">
        <f>IF(J171=[7]Legend!$A$66,[7]Legend!$B$66,(IF(J171=[7]Legend!$A$67,[7]Legend!$B$67,IF(J171=[7]Legend!$A$68, [7]Legend!$B$68, IF(J171=[7]Legend!$A$69, [7]Legend!$B$69, IF(J171=[7]Legend!$A$70, [7]Legend!$B$70, IF(J171=[7]Legend!$A$71, [7]Legend!$B$71, IF(J171=[7]Legend!$A$72, [7]Legend!$B$72, (IF(J171=[7]Legend!$A$73, [7]Legend!$B$73, IF(J171=[7]Legend!$A$74, [7]Legend!$B$74, "")))))))))))</f>
        <v>5</v>
      </c>
      <c r="L171" s="5">
        <v>0</v>
      </c>
      <c r="M171" s="5"/>
      <c r="N171" s="5"/>
      <c r="O171" s="5"/>
    </row>
    <row r="172" spans="1:15" ht="14" customHeight="1" x14ac:dyDescent="0.45">
      <c r="A172" s="7">
        <v>45560</v>
      </c>
      <c r="B172" s="5" t="s">
        <v>59</v>
      </c>
      <c r="C172" s="5" t="s">
        <v>16</v>
      </c>
      <c r="D172" s="5">
        <v>2</v>
      </c>
      <c r="E172" s="5">
        <v>10</v>
      </c>
      <c r="F172" s="5">
        <v>1</v>
      </c>
      <c r="G172" s="7">
        <v>45561</v>
      </c>
      <c r="H172" s="5" t="s">
        <v>108</v>
      </c>
      <c r="I172" s="5">
        <v>3</v>
      </c>
      <c r="J172" s="5" t="s">
        <v>19</v>
      </c>
      <c r="K172" s="6">
        <f>IF(J172=[7]Legend!$A$66,[7]Legend!$B$66,(IF(J172=[7]Legend!$A$67,[7]Legend!$B$67,IF(J172=[7]Legend!$A$68, [7]Legend!$B$68, IF(J172=[7]Legend!$A$69, [7]Legend!$B$69, IF(J172=[7]Legend!$A$70, [7]Legend!$B$70, IF(J172=[7]Legend!$A$71, [7]Legend!$B$71, IF(J172=[7]Legend!$A$72, [7]Legend!$B$72, (IF(J172=[7]Legend!$A$73, [7]Legend!$B$73, IF(J172=[7]Legend!$A$74, [7]Legend!$B$74, "")))))))))))</f>
        <v>9</v>
      </c>
      <c r="L172" s="5">
        <v>0</v>
      </c>
      <c r="M172" s="5"/>
      <c r="N172" s="5"/>
      <c r="O172" s="5"/>
    </row>
    <row r="173" spans="1:15" ht="14" customHeight="1" x14ac:dyDescent="0.45">
      <c r="A173" s="7">
        <v>45560</v>
      </c>
      <c r="B173" s="5" t="s">
        <v>59</v>
      </c>
      <c r="C173" s="5" t="s">
        <v>16</v>
      </c>
      <c r="D173" s="5">
        <v>2</v>
      </c>
      <c r="E173" s="5">
        <v>10</v>
      </c>
      <c r="F173" s="5">
        <v>2</v>
      </c>
      <c r="G173" s="7">
        <v>45561</v>
      </c>
      <c r="H173" s="5" t="s">
        <v>108</v>
      </c>
      <c r="I173" s="5">
        <v>3</v>
      </c>
      <c r="J173" s="5" t="s">
        <v>60</v>
      </c>
      <c r="K173" s="6">
        <f>IF(J173=[7]Legend!$A$66,[7]Legend!$B$66,(IF(J173=[7]Legend!$A$67,[7]Legend!$B$67,IF(J173=[7]Legend!$A$68, [7]Legend!$B$68, IF(J173=[7]Legend!$A$69, [7]Legend!$B$69, IF(J173=[7]Legend!$A$70, [7]Legend!$B$70, IF(J173=[7]Legend!$A$71, [7]Legend!$B$71, IF(J173=[7]Legend!$A$72, [7]Legend!$B$72, (IF(J173=[7]Legend!$A$73, [7]Legend!$B$73, IF(J173=[7]Legend!$A$74, [7]Legend!$B$74, "")))))))))))</f>
        <v>25</v>
      </c>
      <c r="L173" s="5">
        <v>25</v>
      </c>
      <c r="M173" s="5"/>
      <c r="N173" s="5"/>
      <c r="O173" s="5"/>
    </row>
    <row r="174" spans="1:15" ht="14" customHeight="1" x14ac:dyDescent="0.45">
      <c r="A174" s="7">
        <v>45560</v>
      </c>
      <c r="B174" s="5" t="s">
        <v>59</v>
      </c>
      <c r="C174" s="5" t="s">
        <v>16</v>
      </c>
      <c r="D174" s="5">
        <v>2</v>
      </c>
      <c r="E174" s="5">
        <v>10</v>
      </c>
      <c r="F174" s="5">
        <v>2</v>
      </c>
      <c r="G174" s="7">
        <v>45561</v>
      </c>
      <c r="H174" s="5" t="s">
        <v>108</v>
      </c>
      <c r="I174" s="5">
        <v>3</v>
      </c>
      <c r="J174" s="5" t="s">
        <v>18</v>
      </c>
      <c r="K174" s="6">
        <f>IF(J174=[7]Legend!$A$66,[7]Legend!$B$66,(IF(J174=[7]Legend!$A$67,[7]Legend!$B$67,IF(J174=[7]Legend!$A$68, [7]Legend!$B$68, IF(J174=[7]Legend!$A$69, [7]Legend!$B$69, IF(J174=[7]Legend!$A$70, [7]Legend!$B$70, IF(J174=[7]Legend!$A$71, [7]Legend!$B$71, IF(J174=[7]Legend!$A$72, [7]Legend!$B$72, (IF(J174=[7]Legend!$A$73, [7]Legend!$B$73, IF(J174=[7]Legend!$A$74, [7]Legend!$B$74, "")))))))))))</f>
        <v>5</v>
      </c>
      <c r="L174" s="5">
        <v>5</v>
      </c>
      <c r="M174" s="5"/>
      <c r="N174" s="5"/>
      <c r="O174" s="5"/>
    </row>
    <row r="175" spans="1:15" ht="14" customHeight="1" x14ac:dyDescent="0.45">
      <c r="A175" s="7">
        <v>45560</v>
      </c>
      <c r="B175" s="5" t="s">
        <v>59</v>
      </c>
      <c r="C175" s="5" t="s">
        <v>16</v>
      </c>
      <c r="D175" s="5">
        <v>2</v>
      </c>
      <c r="E175" s="5">
        <v>10</v>
      </c>
      <c r="F175" s="5">
        <v>2</v>
      </c>
      <c r="G175" s="7">
        <v>45561</v>
      </c>
      <c r="H175" s="5" t="s">
        <v>108</v>
      </c>
      <c r="I175" s="5">
        <v>3</v>
      </c>
      <c r="J175" s="5" t="s">
        <v>19</v>
      </c>
      <c r="K175" s="6">
        <f>IF(J175=[7]Legend!$A$66,[7]Legend!$B$66,(IF(J175=[7]Legend!$A$67,[7]Legend!$B$67,IF(J175=[7]Legend!$A$68, [7]Legend!$B$68, IF(J175=[7]Legend!$A$69, [7]Legend!$B$69, IF(J175=[7]Legend!$A$70, [7]Legend!$B$70, IF(J175=[7]Legend!$A$71, [7]Legend!$B$71, IF(J175=[7]Legend!$A$72, [7]Legend!$B$72, (IF(J175=[7]Legend!$A$73, [7]Legend!$B$73, IF(J175=[7]Legend!$A$74, [7]Legend!$B$74, "")))))))))))</f>
        <v>9</v>
      </c>
      <c r="L175" s="5">
        <v>9</v>
      </c>
      <c r="M175" s="5">
        <v>2</v>
      </c>
      <c r="N175" s="5" t="s">
        <v>21</v>
      </c>
      <c r="O175" s="5"/>
    </row>
    <row r="176" spans="1:15" ht="14" customHeight="1" x14ac:dyDescent="0.45">
      <c r="A176" s="7">
        <v>45567</v>
      </c>
      <c r="B176" s="5" t="s">
        <v>59</v>
      </c>
      <c r="C176" s="5" t="s">
        <v>132</v>
      </c>
      <c r="D176" s="31">
        <v>3</v>
      </c>
      <c r="E176" s="31">
        <v>10</v>
      </c>
      <c r="F176" s="31">
        <v>1</v>
      </c>
      <c r="G176" s="7">
        <v>45567</v>
      </c>
      <c r="H176" s="5" t="s">
        <v>91</v>
      </c>
      <c r="I176" s="5">
        <v>3</v>
      </c>
      <c r="J176" s="5" t="s">
        <v>60</v>
      </c>
      <c r="K176" s="6">
        <f>IF(J176=[9]Legend!$A$67,[9]Legend!$B$67,(IF(J176=[9]Legend!$A$68,[9]Legend!$B$68,IF(J176=[9]Legend!$A$69, [9]Legend!$B$69, IF(J176=[9]Legend!$A$70, [9]Legend!$B$70, IF(J176=[9]Legend!$A$71, [9]Legend!$B$71, IF(J176=[9]Legend!$A$72, [9]Legend!$B$72, IF(J176=[9]Legend!$A$73, [9]Legend!$B$73, (IF(J176=[9]Legend!$A$74, [9]Legend!$B$74, IF(J176=[9]Legend!$A$75, [9]Legend!$B$75, "")))))))))))</f>
        <v>25</v>
      </c>
      <c r="L176" s="5">
        <v>19</v>
      </c>
      <c r="M176" s="5">
        <v>0</v>
      </c>
      <c r="N176" s="5"/>
      <c r="O176" s="5" t="s">
        <v>133</v>
      </c>
    </row>
    <row r="177" spans="1:15" ht="14" customHeight="1" x14ac:dyDescent="0.45">
      <c r="A177" s="7">
        <v>45567</v>
      </c>
      <c r="B177" s="5" t="s">
        <v>59</v>
      </c>
      <c r="C177" s="5" t="s">
        <v>132</v>
      </c>
      <c r="D177" s="31">
        <v>3</v>
      </c>
      <c r="E177" s="31">
        <v>10</v>
      </c>
      <c r="F177" s="31">
        <v>1</v>
      </c>
      <c r="G177" s="7">
        <v>45567</v>
      </c>
      <c r="H177" s="5" t="s">
        <v>91</v>
      </c>
      <c r="I177" s="5">
        <v>3</v>
      </c>
      <c r="J177" s="5" t="s">
        <v>18</v>
      </c>
      <c r="K177" s="6">
        <f>IF(J177=[9]Legend!$A$67,[9]Legend!$B$67,(IF(J177=[9]Legend!$A$68,[9]Legend!$B$68,IF(J177=[9]Legend!$A$69, [9]Legend!$B$69, IF(J177=[9]Legend!$A$70, [9]Legend!$B$70, IF(J177=[9]Legend!$A$71, [9]Legend!$B$71, IF(J177=[9]Legend!$A$72, [9]Legend!$B$72, IF(J177=[9]Legend!$A$73, [9]Legend!$B$73, (IF(J177=[9]Legend!$A$74, [9]Legend!$B$74, IF(J177=[9]Legend!$A$75, [9]Legend!$B$75, "")))))))))))</f>
        <v>5</v>
      </c>
      <c r="L177" s="5">
        <v>0</v>
      </c>
      <c r="M177" s="5">
        <v>0</v>
      </c>
      <c r="N177" s="5"/>
      <c r="O177" s="5" t="s">
        <v>133</v>
      </c>
    </row>
    <row r="178" spans="1:15" ht="14" customHeight="1" x14ac:dyDescent="0.45">
      <c r="A178" s="7">
        <v>45567</v>
      </c>
      <c r="B178" s="5" t="s">
        <v>59</v>
      </c>
      <c r="C178" s="5" t="s">
        <v>132</v>
      </c>
      <c r="D178" s="31">
        <v>3</v>
      </c>
      <c r="E178" s="31">
        <v>10</v>
      </c>
      <c r="F178" s="31">
        <v>1</v>
      </c>
      <c r="G178" s="7">
        <v>45567</v>
      </c>
      <c r="H178" s="5" t="s">
        <v>91</v>
      </c>
      <c r="I178" s="5">
        <v>3</v>
      </c>
      <c r="J178" s="5" t="s">
        <v>19</v>
      </c>
      <c r="K178" s="6">
        <f>IF(J178=[9]Legend!$A$67,[9]Legend!$B$67,(IF(J178=[9]Legend!$A$68,[9]Legend!$B$68,IF(J178=[9]Legend!$A$69, [9]Legend!$B$69, IF(J178=[9]Legend!$A$70, [9]Legend!$B$70, IF(J178=[9]Legend!$A$71, [9]Legend!$B$71, IF(J178=[9]Legend!$A$72, [9]Legend!$B$72, IF(J178=[9]Legend!$A$73, [9]Legend!$B$73, (IF(J178=[9]Legend!$A$74, [9]Legend!$B$74, IF(J178=[9]Legend!$A$75, [9]Legend!$B$75, "")))))))))))</f>
        <v>9</v>
      </c>
      <c r="L178" s="5">
        <v>2</v>
      </c>
      <c r="M178" s="5">
        <v>0</v>
      </c>
      <c r="N178" s="5"/>
      <c r="O178" s="5" t="s">
        <v>133</v>
      </c>
    </row>
    <row r="179" spans="1:15" ht="14" customHeight="1" x14ac:dyDescent="0.45">
      <c r="A179" s="7">
        <v>45567</v>
      </c>
      <c r="B179" s="5" t="s">
        <v>59</v>
      </c>
      <c r="C179" s="5" t="s">
        <v>132</v>
      </c>
      <c r="D179" s="31">
        <v>3</v>
      </c>
      <c r="E179" s="31">
        <v>10</v>
      </c>
      <c r="F179" s="31">
        <v>2</v>
      </c>
      <c r="G179" s="7">
        <v>45719</v>
      </c>
      <c r="H179" s="5" t="s">
        <v>91</v>
      </c>
      <c r="I179" s="5">
        <v>3</v>
      </c>
      <c r="J179" s="5" t="s">
        <v>60</v>
      </c>
      <c r="K179" s="6">
        <f>IF(J179=[14]Legend!$A$67,[14]Legend!$B$67,(IF(J179=[14]Legend!$A$68,[14]Legend!$B$68,IF(J179=[14]Legend!$A$69, [14]Legend!$B$69, IF(J179=[14]Legend!$A$70, [14]Legend!$B$70, IF(J179=[14]Legend!$A$71, [14]Legend!$B$71, IF(J179=[14]Legend!$A$72, [14]Legend!$B$72, IF(J179=[14]Legend!$A$73, [14]Legend!$B$73, (IF(J179=[14]Legend!$A$74, [14]Legend!$B$74, IF(J179=[14]Legend!$A$75, [14]Legend!$B$75, "")))))))))))</f>
        <v>25</v>
      </c>
      <c r="L179" s="5">
        <v>24</v>
      </c>
      <c r="M179" s="5">
        <v>0</v>
      </c>
      <c r="N179" s="5"/>
      <c r="O179" s="5"/>
    </row>
    <row r="180" spans="1:15" ht="14" customHeight="1" x14ac:dyDescent="0.45">
      <c r="A180" s="7">
        <v>45567</v>
      </c>
      <c r="B180" s="5" t="s">
        <v>59</v>
      </c>
      <c r="C180" s="5" t="s">
        <v>132</v>
      </c>
      <c r="D180" s="31">
        <v>3</v>
      </c>
      <c r="E180" s="31">
        <v>10</v>
      </c>
      <c r="F180" s="31">
        <v>2</v>
      </c>
      <c r="G180" s="7">
        <v>45719</v>
      </c>
      <c r="H180" s="5" t="s">
        <v>91</v>
      </c>
      <c r="I180" s="5">
        <v>3</v>
      </c>
      <c r="J180" s="5" t="s">
        <v>18</v>
      </c>
      <c r="K180" s="6">
        <f>IF(J180=[14]Legend!$A$67,[14]Legend!$B$67,(IF(J180=[14]Legend!$A$68,[14]Legend!$B$68,IF(J180=[14]Legend!$A$69, [14]Legend!$B$69, IF(J180=[14]Legend!$A$70, [14]Legend!$B$70, IF(J180=[14]Legend!$A$71, [14]Legend!$B$71, IF(J180=[14]Legend!$A$72, [14]Legend!$B$72, IF(J180=[14]Legend!$A$73, [14]Legend!$B$73, (IF(J180=[14]Legend!$A$74, [14]Legend!$B$74, IF(J180=[14]Legend!$A$75, [14]Legend!$B$75, "")))))))))))</f>
        <v>5</v>
      </c>
      <c r="L180" s="5">
        <v>5</v>
      </c>
      <c r="M180" s="5">
        <v>0</v>
      </c>
      <c r="N180" s="5"/>
      <c r="O180" s="5"/>
    </row>
    <row r="181" spans="1:15" ht="14" customHeight="1" x14ac:dyDescent="0.45">
      <c r="A181" s="7">
        <v>45567</v>
      </c>
      <c r="B181" s="5" t="s">
        <v>59</v>
      </c>
      <c r="C181" s="5" t="s">
        <v>132</v>
      </c>
      <c r="D181" s="31">
        <v>3</v>
      </c>
      <c r="E181" s="31">
        <v>10</v>
      </c>
      <c r="F181" s="31">
        <v>2</v>
      </c>
      <c r="G181" s="7">
        <v>45719</v>
      </c>
      <c r="H181" s="5" t="s">
        <v>91</v>
      </c>
      <c r="I181" s="5">
        <v>3</v>
      </c>
      <c r="J181" s="5" t="s">
        <v>19</v>
      </c>
      <c r="K181" s="6">
        <f>IF(J181=[14]Legend!$A$67,[14]Legend!$B$67,(IF(J181=[14]Legend!$A$68,[14]Legend!$B$68,IF(J181=[14]Legend!$A$69, [14]Legend!$B$69, IF(J181=[14]Legend!$A$70, [14]Legend!$B$70, IF(J181=[14]Legend!$A$71, [14]Legend!$B$71, IF(J181=[14]Legend!$A$72, [14]Legend!$B$72, IF(J181=[14]Legend!$A$73, [14]Legend!$B$73, (IF(J181=[14]Legend!$A$74, [14]Legend!$B$74, IF(J181=[14]Legend!$A$75, [14]Legend!$B$75, "")))))))))))</f>
        <v>9</v>
      </c>
      <c r="L181" s="5">
        <v>9</v>
      </c>
      <c r="M181" s="5">
        <v>0</v>
      </c>
      <c r="N181" s="5"/>
      <c r="O181" s="5"/>
    </row>
    <row r="182" spans="1:15" ht="14" customHeight="1" x14ac:dyDescent="0.45">
      <c r="A182" s="7">
        <v>45567</v>
      </c>
      <c r="B182" s="5" t="s">
        <v>59</v>
      </c>
      <c r="C182" s="5" t="s">
        <v>132</v>
      </c>
      <c r="D182" s="31">
        <v>3</v>
      </c>
      <c r="E182" s="31">
        <v>10</v>
      </c>
      <c r="F182" s="31">
        <v>1</v>
      </c>
      <c r="G182" s="7">
        <v>45719</v>
      </c>
      <c r="H182" s="5" t="s">
        <v>91</v>
      </c>
      <c r="I182" s="5">
        <v>3</v>
      </c>
      <c r="J182" s="5" t="s">
        <v>60</v>
      </c>
      <c r="K182" s="6">
        <f>IF(J182=[14]Legend!$A$67,[14]Legend!$B$67,(IF(J182=[14]Legend!$A$68,[14]Legend!$B$68,IF(J182=[14]Legend!$A$69, [14]Legend!$B$69, IF(J182=[14]Legend!$A$70, [14]Legend!$B$70, IF(J182=[14]Legend!$A$71, [14]Legend!$B$71, IF(J182=[14]Legend!$A$72, [14]Legend!$B$72, IF(J182=[14]Legend!$A$73, [14]Legend!$B$73, (IF(J182=[14]Legend!$A$74, [14]Legend!$B$74, IF(J182=[14]Legend!$A$75, [14]Legend!$B$75, "")))))))))))</f>
        <v>25</v>
      </c>
      <c r="L182" s="5">
        <v>19</v>
      </c>
      <c r="M182" s="5">
        <v>0</v>
      </c>
      <c r="N182" s="5"/>
      <c r="O182" s="5" t="s">
        <v>163</v>
      </c>
    </row>
    <row r="183" spans="1:15" ht="14" customHeight="1" x14ac:dyDescent="0.45">
      <c r="A183" s="7">
        <v>45567</v>
      </c>
      <c r="B183" s="5" t="s">
        <v>59</v>
      </c>
      <c r="C183" s="5" t="s">
        <v>132</v>
      </c>
      <c r="D183" s="31">
        <v>3</v>
      </c>
      <c r="E183" s="31">
        <v>10</v>
      </c>
      <c r="F183" s="31">
        <v>1</v>
      </c>
      <c r="G183" s="7">
        <v>45719</v>
      </c>
      <c r="H183" s="5" t="s">
        <v>91</v>
      </c>
      <c r="I183" s="5">
        <v>3</v>
      </c>
      <c r="J183" s="5" t="s">
        <v>18</v>
      </c>
      <c r="K183" s="6">
        <f>IF(J183=[14]Legend!$A$67,[14]Legend!$B$67,(IF(J183=[14]Legend!$A$68,[14]Legend!$B$68,IF(J183=[14]Legend!$A$69, [14]Legend!$B$69, IF(J183=[14]Legend!$A$70, [14]Legend!$B$70, IF(J183=[14]Legend!$A$71, [14]Legend!$B$71, IF(J183=[14]Legend!$A$72, [14]Legend!$B$72, IF(J183=[14]Legend!$A$73, [14]Legend!$B$73, (IF(J183=[14]Legend!$A$74, [14]Legend!$B$74, IF(J183=[14]Legend!$A$75, [14]Legend!$B$75, "")))))))))))</f>
        <v>5</v>
      </c>
      <c r="L183" s="5">
        <v>0</v>
      </c>
      <c r="M183" s="5">
        <v>0</v>
      </c>
      <c r="N183" s="5"/>
      <c r="O183" s="5" t="s">
        <v>163</v>
      </c>
    </row>
    <row r="184" spans="1:15" ht="14" customHeight="1" x14ac:dyDescent="0.45">
      <c r="A184" s="7">
        <v>45567</v>
      </c>
      <c r="B184" s="5" t="s">
        <v>59</v>
      </c>
      <c r="C184" s="5" t="s">
        <v>132</v>
      </c>
      <c r="D184" s="31">
        <v>3</v>
      </c>
      <c r="E184" s="31">
        <v>10</v>
      </c>
      <c r="F184" s="31">
        <v>1</v>
      </c>
      <c r="G184" s="7">
        <v>45719</v>
      </c>
      <c r="H184" s="5" t="s">
        <v>91</v>
      </c>
      <c r="I184" s="5">
        <v>3</v>
      </c>
      <c r="J184" s="5" t="s">
        <v>19</v>
      </c>
      <c r="K184" s="6">
        <f>IF(J184=[14]Legend!$A$67,[14]Legend!$B$67,(IF(J184=[14]Legend!$A$68,[14]Legend!$B$68,IF(J184=[14]Legend!$A$69, [14]Legend!$B$69, IF(J184=[14]Legend!$A$70, [14]Legend!$B$70, IF(J184=[14]Legend!$A$71, [14]Legend!$B$71, IF(J184=[14]Legend!$A$72, [14]Legend!$B$72, IF(J184=[14]Legend!$A$73, [14]Legend!$B$73, (IF(J184=[14]Legend!$A$74, [14]Legend!$B$74, IF(J184=[14]Legend!$A$75, [14]Legend!$B$75, "")))))))))))</f>
        <v>9</v>
      </c>
      <c r="L184" s="5">
        <v>2</v>
      </c>
      <c r="M184" s="5">
        <v>0</v>
      </c>
      <c r="N184" s="5"/>
      <c r="O184" s="5" t="s">
        <v>163</v>
      </c>
    </row>
  </sheetData>
  <sortState xmlns:xlrd2="http://schemas.microsoft.com/office/spreadsheetml/2017/richdata2" ref="A2:O185">
    <sortCondition ref="E1:E185"/>
  </sortState>
  <dataValidations count="2">
    <dataValidation type="whole" operator="lessThanOrEqual" allowBlank="1" showInputMessage="1" showErrorMessage="1" sqref="M134 M137" xr:uid="{BE9193AE-F771-4007-82A5-082E8DEEF3BF}">
      <formula1>K134</formula1>
    </dataValidation>
    <dataValidation type="whole" operator="lessThanOrEqual" allowBlank="1" showInputMessage="1" showErrorMessage="1" sqref="L134 L137" xr:uid="{422354DC-0289-4132-B6A1-C54EA41215B1}">
      <formula1>K134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D925-450E-48C8-8A7D-16407FC1F4F5}">
  <dimension ref="A1:Q181"/>
  <sheetViews>
    <sheetView topLeftCell="A70" workbookViewId="0">
      <selection activeCell="L101" sqref="L101"/>
    </sheetView>
  </sheetViews>
  <sheetFormatPr baseColWidth="10" defaultRowHeight="14.25" x14ac:dyDescent="0.45"/>
  <cols>
    <col min="5" max="5" width="10.53125" customWidth="1"/>
  </cols>
  <sheetData>
    <row r="1" spans="1:17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7" ht="14" customHeight="1" x14ac:dyDescent="0.45">
      <c r="A2" s="14">
        <v>45574</v>
      </c>
      <c r="B2" s="5" t="s">
        <v>99</v>
      </c>
      <c r="C2" s="5" t="s">
        <v>90</v>
      </c>
      <c r="D2" s="5">
        <v>1</v>
      </c>
      <c r="E2" s="5">
        <v>1</v>
      </c>
      <c r="F2" s="5">
        <v>2</v>
      </c>
      <c r="G2" s="7">
        <v>45621</v>
      </c>
      <c r="H2" s="5" t="s">
        <v>37</v>
      </c>
      <c r="I2" s="5">
        <v>1</v>
      </c>
      <c r="J2" s="5" t="s">
        <v>60</v>
      </c>
      <c r="K2" s="6">
        <f>IF(J2=[4]Legend!$A$67,[4]Legend!$B$67,(IF(J2=[4]Legend!$A$68,[4]Legend!$B$68,IF(J2=[4]Legend!$A$69, [4]Legend!$B$69, IF(J2=[4]Legend!$A$70, [4]Legend!$B$70, IF(J2=[4]Legend!$A$71, [4]Legend!$B$71, IF(J2=[4]Legend!$A$72, [4]Legend!$B$72, IF(J2=[4]Legend!$A$73, [4]Legend!$B$73, (IF(J2=[4]Legend!$A$74, [4]Legend!$B$74, IF(J2=[4]Legend!$A$75, [4]Legend!$B$75, "")))))))))))</f>
        <v>25</v>
      </c>
      <c r="L2" s="5">
        <v>25</v>
      </c>
      <c r="M2" s="5"/>
      <c r="N2" s="5"/>
      <c r="O2" s="5"/>
    </row>
    <row r="3" spans="1:17" ht="14" customHeight="1" x14ac:dyDescent="0.45">
      <c r="A3" s="14">
        <v>45574</v>
      </c>
      <c r="B3" s="5" t="s">
        <v>99</v>
      </c>
      <c r="C3" s="5" t="s">
        <v>90</v>
      </c>
      <c r="D3" s="5">
        <v>1</v>
      </c>
      <c r="E3" s="5">
        <v>1</v>
      </c>
      <c r="F3" s="5">
        <v>2</v>
      </c>
      <c r="G3" s="7">
        <v>45621</v>
      </c>
      <c r="H3" s="5" t="s">
        <v>37</v>
      </c>
      <c r="I3" s="5">
        <v>1</v>
      </c>
      <c r="J3" s="5" t="s">
        <v>18</v>
      </c>
      <c r="K3" s="6">
        <f>IF(J3=[4]Legend!$A$67,[4]Legend!$B$67,(IF(J3=[4]Legend!$A$68,[4]Legend!$B$68,IF(J3=[4]Legend!$A$69, [4]Legend!$B$69, IF(J3=[4]Legend!$A$70, [4]Legend!$B$70, IF(J3=[4]Legend!$A$71, [4]Legend!$B$71, IF(J3=[4]Legend!$A$72, [4]Legend!$B$72, IF(J3=[4]Legend!$A$73, [4]Legend!$B$73, (IF(J3=[4]Legend!$A$74, [4]Legend!$B$74, IF(J3=[4]Legend!$A$75, [4]Legend!$B$75, "")))))))))))</f>
        <v>5</v>
      </c>
      <c r="L3" s="5">
        <v>5</v>
      </c>
      <c r="M3" s="5"/>
      <c r="N3" s="5"/>
      <c r="O3" s="5"/>
      <c r="Q3" s="30" t="s">
        <v>178</v>
      </c>
    </row>
    <row r="4" spans="1:17" ht="14" customHeight="1" x14ac:dyDescent="0.45">
      <c r="A4" s="14">
        <v>45574</v>
      </c>
      <c r="B4" s="5" t="s">
        <v>99</v>
      </c>
      <c r="C4" s="5" t="s">
        <v>90</v>
      </c>
      <c r="D4" s="5">
        <v>1</v>
      </c>
      <c r="E4" s="5">
        <v>1</v>
      </c>
      <c r="F4" s="5">
        <v>2</v>
      </c>
      <c r="G4" s="7">
        <v>45621</v>
      </c>
      <c r="H4" s="5" t="s">
        <v>37</v>
      </c>
      <c r="I4" s="5">
        <v>1</v>
      </c>
      <c r="J4" s="5" t="s">
        <v>69</v>
      </c>
      <c r="K4" s="6">
        <f>IF(J4=[4]Legend!$A$67,[4]Legend!$B$67,(IF(J4=[4]Legend!$A$68,[4]Legend!$B$68,IF(J4=[4]Legend!$A$69, [4]Legend!$B$69, IF(J4=[4]Legend!$A$70, [4]Legend!$B$70, IF(J4=[4]Legend!$A$71, [4]Legend!$B$71, IF(J4=[4]Legend!$A$72, [4]Legend!$B$72, IF(J4=[4]Legend!$A$73, [4]Legend!$B$73, (IF(J4=[4]Legend!$A$74, [4]Legend!$B$74, IF(J4=[4]Legend!$A$75, [4]Legend!$B$75, "")))))))))))</f>
        <v>120</v>
      </c>
      <c r="L4" s="5">
        <v>120</v>
      </c>
      <c r="M4" s="5"/>
      <c r="N4" s="5"/>
      <c r="O4" s="5"/>
    </row>
    <row r="5" spans="1:17" ht="14" customHeight="1" x14ac:dyDescent="0.45">
      <c r="A5" s="7">
        <v>45574</v>
      </c>
      <c r="B5" s="5" t="s">
        <v>99</v>
      </c>
      <c r="C5" s="5" t="s">
        <v>90</v>
      </c>
      <c r="D5" s="5">
        <v>1</v>
      </c>
      <c r="E5" s="5">
        <v>1</v>
      </c>
      <c r="F5" s="5">
        <v>1</v>
      </c>
      <c r="G5" s="7">
        <v>45672</v>
      </c>
      <c r="H5" s="5" t="s">
        <v>91</v>
      </c>
      <c r="I5" s="5">
        <v>1</v>
      </c>
      <c r="J5" s="5" t="s">
        <v>60</v>
      </c>
      <c r="K5" s="6">
        <f>IF(J5=[8]Legend!$A$66,[8]Legend!$B$66,(IF(J5=[8]Legend!$A$67,[8]Legend!$B$67,IF(J5=[8]Legend!$A$68, [8]Legend!$B$68, IF(J5=[8]Legend!$A$69, [8]Legend!$B$69, IF(J5=[8]Legend!$A$70, [8]Legend!$B$70, IF(J5=[8]Legend!$A$71, [8]Legend!$B$71, IF(J5=[8]Legend!$A$72, [8]Legend!$B$72, (IF(J5=[8]Legend!$A$73, [8]Legend!$B$73, IF(J5=[8]Legend!$A$74, [8]Legend!$B$74, "")))))))))))</f>
        <v>25</v>
      </c>
      <c r="L5" s="5">
        <v>25</v>
      </c>
      <c r="M5" s="5">
        <v>1</v>
      </c>
      <c r="N5" s="5" t="s">
        <v>21</v>
      </c>
      <c r="O5" s="5" t="s">
        <v>120</v>
      </c>
    </row>
    <row r="6" spans="1:17" ht="14" customHeight="1" x14ac:dyDescent="0.45">
      <c r="A6" s="7">
        <v>45574</v>
      </c>
      <c r="B6" s="5" t="s">
        <v>99</v>
      </c>
      <c r="C6" s="5" t="s">
        <v>90</v>
      </c>
      <c r="D6" s="5">
        <v>1</v>
      </c>
      <c r="E6" s="5">
        <v>1</v>
      </c>
      <c r="F6" s="5">
        <v>1</v>
      </c>
      <c r="G6" s="7">
        <v>45672</v>
      </c>
      <c r="H6" s="5" t="s">
        <v>91</v>
      </c>
      <c r="I6" s="5">
        <v>1</v>
      </c>
      <c r="J6" s="5" t="s">
        <v>18</v>
      </c>
      <c r="K6" s="6">
        <f>IF(J6=[8]Legend!$A$66,[8]Legend!$B$66,(IF(J6=[8]Legend!$A$67,[8]Legend!$B$67,IF(J6=[8]Legend!$A$68, [8]Legend!$B$68, IF(J6=[8]Legend!$A$69, [8]Legend!$B$69, IF(J6=[8]Legend!$A$70, [8]Legend!$B$70, IF(J6=[8]Legend!$A$71, [8]Legend!$B$71, IF(J6=[8]Legend!$A$72, [8]Legend!$B$72, (IF(J6=[8]Legend!$A$73, [8]Legend!$B$73, IF(J6=[8]Legend!$A$74, [8]Legend!$B$74, "")))))))))))</f>
        <v>5</v>
      </c>
      <c r="L6" s="5">
        <v>5</v>
      </c>
      <c r="M6" s="5">
        <v>0</v>
      </c>
      <c r="N6" s="5"/>
      <c r="O6" s="5"/>
    </row>
    <row r="7" spans="1:17" ht="14" customHeight="1" x14ac:dyDescent="0.45">
      <c r="A7" s="7">
        <v>45574</v>
      </c>
      <c r="B7" s="5" t="s">
        <v>99</v>
      </c>
      <c r="C7" s="5" t="s">
        <v>90</v>
      </c>
      <c r="D7" s="5">
        <v>1</v>
      </c>
      <c r="E7" s="5">
        <v>1</v>
      </c>
      <c r="F7" s="5">
        <v>1</v>
      </c>
      <c r="G7" s="7">
        <v>45672</v>
      </c>
      <c r="H7" s="5" t="s">
        <v>91</v>
      </c>
      <c r="I7" s="5">
        <v>1</v>
      </c>
      <c r="J7" s="5" t="s">
        <v>69</v>
      </c>
      <c r="K7" s="6">
        <f>IF(J7=[8]Legend!$A$66,[8]Legend!$B$66,(IF(J7=[8]Legend!$A$67,[8]Legend!$B$67,IF(J7=[8]Legend!$A$68, [8]Legend!$B$68, IF(J7=[8]Legend!$A$69, [8]Legend!$B$69, IF(J7=[8]Legend!$A$70, [8]Legend!$B$70, IF(J7=[8]Legend!$A$71, [8]Legend!$B$71, IF(J7=[8]Legend!$A$72, [8]Legend!$B$72, (IF(J7=[8]Legend!$A$73, [8]Legend!$B$73, IF(J7=[8]Legend!$A$74, [8]Legend!$B$74, "")))))))))))</f>
        <v>120</v>
      </c>
      <c r="L7" s="5">
        <v>120</v>
      </c>
      <c r="M7" s="5">
        <v>1</v>
      </c>
      <c r="N7" s="5" t="s">
        <v>21</v>
      </c>
      <c r="O7" s="5"/>
    </row>
    <row r="8" spans="1:17" ht="14" customHeight="1" x14ac:dyDescent="0.45">
      <c r="A8" s="7">
        <v>45581</v>
      </c>
      <c r="B8" s="5" t="s">
        <v>99</v>
      </c>
      <c r="C8" s="5" t="s">
        <v>124</v>
      </c>
      <c r="D8" s="5">
        <v>2</v>
      </c>
      <c r="E8" s="5">
        <v>1</v>
      </c>
      <c r="F8" s="5">
        <v>2</v>
      </c>
      <c r="G8" s="7">
        <v>45362</v>
      </c>
      <c r="H8" s="5" t="s">
        <v>91</v>
      </c>
      <c r="I8" s="5">
        <v>1</v>
      </c>
      <c r="J8" s="5" t="s">
        <v>60</v>
      </c>
      <c r="K8" s="6">
        <f>IF(J8=[9]Legend!$A$67,[9]Legend!$B$67,(IF(J8=[9]Legend!$A$68,[9]Legend!$B$68,IF(J8=[9]Legend!$A$69, [9]Legend!$B$69, IF(J8=[9]Legend!$A$70, [9]Legend!$B$70, IF(J8=[9]Legend!$A$71, [9]Legend!$B$71, IF(J8=[9]Legend!$A$72, [9]Legend!$B$72, IF(J8=[9]Legend!$A$73, [9]Legend!$B$73, (IF(J8=[9]Legend!$A$74, [9]Legend!$B$74, IF(J8=[9]Legend!$A$75, [9]Legend!$B$75, "")))))))))))</f>
        <v>25</v>
      </c>
      <c r="L8" s="5">
        <v>25</v>
      </c>
      <c r="M8" s="5">
        <v>0</v>
      </c>
      <c r="N8" s="5"/>
      <c r="O8" s="5"/>
    </row>
    <row r="9" spans="1:17" ht="14" customHeight="1" x14ac:dyDescent="0.45">
      <c r="A9" s="7">
        <v>45581</v>
      </c>
      <c r="B9" s="5" t="s">
        <v>99</v>
      </c>
      <c r="C9" s="5" t="s">
        <v>124</v>
      </c>
      <c r="D9" s="5">
        <v>2</v>
      </c>
      <c r="E9" s="5">
        <v>1</v>
      </c>
      <c r="F9" s="5">
        <v>2</v>
      </c>
      <c r="G9" s="7">
        <v>45362</v>
      </c>
      <c r="H9" s="5" t="s">
        <v>91</v>
      </c>
      <c r="I9" s="5">
        <v>1</v>
      </c>
      <c r="J9" s="5" t="s">
        <v>18</v>
      </c>
      <c r="K9" s="6">
        <f>IF(J9=[9]Legend!$A$67,[9]Legend!$B$67,(IF(J9=[9]Legend!$A$68,[9]Legend!$B$68,IF(J9=[9]Legend!$A$69, [9]Legend!$B$69, IF(J9=[9]Legend!$A$70, [9]Legend!$B$70, IF(J9=[9]Legend!$A$71, [9]Legend!$B$71, IF(J9=[9]Legend!$A$72, [9]Legend!$B$72, IF(J9=[9]Legend!$A$73, [9]Legend!$B$73, (IF(J9=[9]Legend!$A$74, [9]Legend!$B$74, IF(J9=[9]Legend!$A$75, [9]Legend!$B$75, "")))))))))))</f>
        <v>5</v>
      </c>
      <c r="L9" s="5">
        <v>5</v>
      </c>
      <c r="M9" s="5">
        <v>0</v>
      </c>
      <c r="N9" s="5"/>
      <c r="O9" s="5"/>
    </row>
    <row r="10" spans="1:17" ht="14" customHeight="1" x14ac:dyDescent="0.45">
      <c r="A10" s="7">
        <v>45581</v>
      </c>
      <c r="B10" s="5" t="s">
        <v>99</v>
      </c>
      <c r="C10" s="5" t="s">
        <v>124</v>
      </c>
      <c r="D10" s="5">
        <v>2</v>
      </c>
      <c r="E10" s="5">
        <v>1</v>
      </c>
      <c r="F10" s="5">
        <v>2</v>
      </c>
      <c r="G10" s="7">
        <v>45362</v>
      </c>
      <c r="H10" s="5" t="s">
        <v>91</v>
      </c>
      <c r="I10" s="5">
        <v>1</v>
      </c>
      <c r="J10" s="5" t="s">
        <v>69</v>
      </c>
      <c r="K10" s="6">
        <f>IF(J10=[9]Legend!$A$67,[9]Legend!$B$67,(IF(J10=[9]Legend!$A$68,[9]Legend!$B$68,IF(J10=[9]Legend!$A$69, [9]Legend!$B$69, IF(J10=[9]Legend!$A$70, [9]Legend!$B$70, IF(J10=[9]Legend!$A$71, [9]Legend!$B$71, IF(J10=[9]Legend!$A$72, [9]Legend!$B$72, IF(J10=[9]Legend!$A$73, [9]Legend!$B$73, (IF(J10=[9]Legend!$A$74, [9]Legend!$B$74, IF(J10=[9]Legend!$A$75, [9]Legend!$B$75, "")))))))))))</f>
        <v>120</v>
      </c>
      <c r="L10" s="5">
        <v>118</v>
      </c>
      <c r="M10" s="5">
        <v>2</v>
      </c>
      <c r="N10" s="5" t="s">
        <v>30</v>
      </c>
      <c r="O10" s="5"/>
    </row>
    <row r="11" spans="1:17" ht="14" customHeight="1" x14ac:dyDescent="0.45">
      <c r="A11" s="7">
        <v>45581</v>
      </c>
      <c r="B11" s="5" t="s">
        <v>99</v>
      </c>
      <c r="C11" s="5" t="s">
        <v>124</v>
      </c>
      <c r="D11" s="5">
        <v>2</v>
      </c>
      <c r="E11" s="5">
        <v>1</v>
      </c>
      <c r="F11" s="5">
        <v>1</v>
      </c>
      <c r="G11" s="7">
        <v>45733</v>
      </c>
      <c r="H11" s="5" t="s">
        <v>91</v>
      </c>
      <c r="I11" s="5">
        <v>1</v>
      </c>
      <c r="J11" s="5" t="s">
        <v>60</v>
      </c>
      <c r="K11" s="6">
        <f>IF(J11=[9]Legend!$A$67,[9]Legend!$B$67,(IF(J11=[9]Legend!$A$68,[9]Legend!$B$68,IF(J11=[9]Legend!$A$69, [9]Legend!$B$69, IF(J11=[9]Legend!$A$70, [9]Legend!$B$70, IF(J11=[9]Legend!$A$71, [9]Legend!$B$71, IF(J11=[9]Legend!$A$72, [9]Legend!$B$72, IF(J11=[9]Legend!$A$73, [9]Legend!$B$73, (IF(J11=[9]Legend!$A$74, [9]Legend!$B$74, IF(J11=[9]Legend!$A$75, [9]Legend!$B$75, "")))))))))))</f>
        <v>25</v>
      </c>
      <c r="L11" s="5">
        <v>25</v>
      </c>
      <c r="M11" s="5">
        <v>0</v>
      </c>
      <c r="N11" s="5"/>
      <c r="O11" s="5"/>
    </row>
    <row r="12" spans="1:17" ht="14" customHeight="1" x14ac:dyDescent="0.45">
      <c r="A12" s="7">
        <v>45581</v>
      </c>
      <c r="B12" s="5" t="s">
        <v>99</v>
      </c>
      <c r="C12" s="5" t="s">
        <v>124</v>
      </c>
      <c r="D12" s="5">
        <v>2</v>
      </c>
      <c r="E12" s="5">
        <v>1</v>
      </c>
      <c r="F12" s="5">
        <v>1</v>
      </c>
      <c r="G12" s="7">
        <v>45733</v>
      </c>
      <c r="H12" s="5" t="s">
        <v>91</v>
      </c>
      <c r="I12" s="5">
        <v>1</v>
      </c>
      <c r="J12" s="5" t="s">
        <v>18</v>
      </c>
      <c r="K12" s="6">
        <f>IF(J12=[9]Legend!$A$67,[9]Legend!$B$67,(IF(J12=[9]Legend!$A$68,[9]Legend!$B$68,IF(J12=[9]Legend!$A$69, [9]Legend!$B$69, IF(J12=[9]Legend!$A$70, [9]Legend!$B$70, IF(J12=[9]Legend!$A$71, [9]Legend!$B$71, IF(J12=[9]Legend!$A$72, [9]Legend!$B$72, IF(J12=[9]Legend!$A$73, [9]Legend!$B$73, (IF(J12=[9]Legend!$A$74, [9]Legend!$B$74, IF(J12=[9]Legend!$A$75, [9]Legend!$B$75, "")))))))))))</f>
        <v>5</v>
      </c>
      <c r="L12" s="5">
        <v>5</v>
      </c>
      <c r="M12" s="5">
        <v>0</v>
      </c>
      <c r="N12" s="5"/>
      <c r="O12" s="5"/>
    </row>
    <row r="13" spans="1:17" ht="14" customHeight="1" x14ac:dyDescent="0.45">
      <c r="A13" s="7">
        <v>45581</v>
      </c>
      <c r="B13" s="5" t="s">
        <v>99</v>
      </c>
      <c r="C13" s="5" t="s">
        <v>124</v>
      </c>
      <c r="D13" s="5">
        <v>2</v>
      </c>
      <c r="E13" s="5">
        <v>1</v>
      </c>
      <c r="F13" s="5">
        <v>1</v>
      </c>
      <c r="G13" s="7">
        <v>45733</v>
      </c>
      <c r="H13" s="5" t="s">
        <v>91</v>
      </c>
      <c r="I13" s="5">
        <v>1</v>
      </c>
      <c r="J13" s="5" t="s">
        <v>69</v>
      </c>
      <c r="K13" s="6">
        <f>IF(J13=[9]Legend!$A$67,[9]Legend!$B$67,(IF(J13=[9]Legend!$A$68,[9]Legend!$B$68,IF(J13=[9]Legend!$A$69, [9]Legend!$B$69, IF(J13=[9]Legend!$A$70, [9]Legend!$B$70, IF(J13=[9]Legend!$A$71, [9]Legend!$B$71, IF(J13=[9]Legend!$A$72, [9]Legend!$B$72, IF(J13=[9]Legend!$A$73, [9]Legend!$B$73, (IF(J13=[9]Legend!$A$74, [9]Legend!$B$74, IF(J13=[9]Legend!$A$75, [9]Legend!$B$75, "")))))))))))</f>
        <v>120</v>
      </c>
      <c r="L13" s="5">
        <v>120</v>
      </c>
      <c r="M13" s="5">
        <v>1</v>
      </c>
      <c r="N13" s="5" t="s">
        <v>30</v>
      </c>
      <c r="O13" s="5"/>
    </row>
    <row r="14" spans="1:17" ht="14" customHeight="1" x14ac:dyDescent="0.45">
      <c r="A14" s="7">
        <v>45588</v>
      </c>
      <c r="B14" s="5" t="s">
        <v>99</v>
      </c>
      <c r="C14" s="5" t="s">
        <v>16</v>
      </c>
      <c r="D14" s="5">
        <v>3</v>
      </c>
      <c r="E14" s="5">
        <v>1</v>
      </c>
      <c r="F14" s="5">
        <v>1</v>
      </c>
      <c r="G14" s="7">
        <v>45685</v>
      </c>
      <c r="H14" s="5" t="s">
        <v>91</v>
      </c>
      <c r="I14" s="5">
        <v>1</v>
      </c>
      <c r="J14" s="5" t="s">
        <v>60</v>
      </c>
      <c r="K14" s="6">
        <f>IF(J14=[12]Legend!$A$66,[12]Legend!$B$66,(IF(J14=[12]Legend!$A$67,[12]Legend!$B$67,IF(J14=[12]Legend!$A$68, [12]Legend!$B$68, IF(J14=[12]Legend!$A$69, [12]Legend!$B$69, IF(J14=[12]Legend!$A$70, [12]Legend!$B$70, IF(J14=[12]Legend!$A$71, [12]Legend!$B$71, IF(J14=[12]Legend!$A$72, [12]Legend!$B$72, (IF(J14=[12]Legend!$A$73, [12]Legend!$B$73, IF(J14=[12]Legend!$A$74, [12]Legend!$B$74, "")))))))))))</f>
        <v>25</v>
      </c>
      <c r="L14" s="5">
        <v>25</v>
      </c>
      <c r="M14" s="5">
        <v>0</v>
      </c>
      <c r="N14" s="5"/>
      <c r="O14" s="5"/>
    </row>
    <row r="15" spans="1:17" ht="14" customHeight="1" x14ac:dyDescent="0.45">
      <c r="A15" s="7">
        <v>45588</v>
      </c>
      <c r="B15" s="5" t="s">
        <v>99</v>
      </c>
      <c r="C15" s="5" t="s">
        <v>16</v>
      </c>
      <c r="D15" s="5">
        <v>3</v>
      </c>
      <c r="E15" s="5">
        <v>1</v>
      </c>
      <c r="F15" s="5">
        <v>1</v>
      </c>
      <c r="G15" s="7">
        <v>45685</v>
      </c>
      <c r="H15" s="5" t="s">
        <v>91</v>
      </c>
      <c r="I15" s="5">
        <v>1</v>
      </c>
      <c r="J15" s="5" t="s">
        <v>18</v>
      </c>
      <c r="K15" s="6">
        <f>IF(J15=[12]Legend!$A$66,[12]Legend!$B$66,(IF(J15=[12]Legend!$A$67,[12]Legend!$B$67,IF(J15=[12]Legend!$A$68, [12]Legend!$B$68, IF(J15=[12]Legend!$A$69, [12]Legend!$B$69, IF(J15=[12]Legend!$A$70, [12]Legend!$B$70, IF(J15=[12]Legend!$A$71, [12]Legend!$B$71, IF(J15=[12]Legend!$A$72, [12]Legend!$B$72, (IF(J15=[12]Legend!$A$73, [12]Legend!$B$73, IF(J15=[12]Legend!$A$74, [12]Legend!$B$74, "")))))))))))</f>
        <v>5</v>
      </c>
      <c r="L15" s="5">
        <v>5</v>
      </c>
      <c r="M15" s="5">
        <v>0</v>
      </c>
      <c r="N15" s="5"/>
      <c r="O15" s="5"/>
    </row>
    <row r="16" spans="1:17" ht="14" customHeight="1" x14ac:dyDescent="0.45">
      <c r="A16" s="7">
        <v>45588</v>
      </c>
      <c r="B16" s="5" t="s">
        <v>99</v>
      </c>
      <c r="C16" s="5" t="s">
        <v>16</v>
      </c>
      <c r="D16" s="5">
        <v>3</v>
      </c>
      <c r="E16" s="5">
        <v>1</v>
      </c>
      <c r="F16" s="5">
        <v>1</v>
      </c>
      <c r="G16" s="7">
        <v>45685</v>
      </c>
      <c r="H16" s="5" t="s">
        <v>91</v>
      </c>
      <c r="I16" s="5">
        <v>1</v>
      </c>
      <c r="J16" s="5" t="s">
        <v>69</v>
      </c>
      <c r="K16" s="6">
        <f>IF(J16=[12]Legend!$A$66,[12]Legend!$B$66,(IF(J16=[12]Legend!$A$67,[12]Legend!$B$67,IF(J16=[12]Legend!$A$68, [12]Legend!$B$68, IF(J16=[12]Legend!$A$69, [12]Legend!$B$69, IF(J16=[12]Legend!$A$70, [12]Legend!$B$70, IF(J16=[12]Legend!$A$71, [12]Legend!$B$71, IF(J16=[12]Legend!$A$72, [12]Legend!$B$72, (IF(J16=[12]Legend!$A$73, [12]Legend!$B$73, IF(J16=[12]Legend!$A$74, [12]Legend!$B$74, "")))))))))))</f>
        <v>120</v>
      </c>
      <c r="L16" s="5">
        <v>119</v>
      </c>
      <c r="M16" s="5">
        <v>1</v>
      </c>
      <c r="N16" s="5"/>
      <c r="O16" s="5"/>
    </row>
    <row r="17" spans="1:15" ht="14" customHeight="1" x14ac:dyDescent="0.45">
      <c r="A17" s="7">
        <v>45588</v>
      </c>
      <c r="B17" s="5" t="s">
        <v>99</v>
      </c>
      <c r="C17" s="5" t="s">
        <v>16</v>
      </c>
      <c r="D17" s="5">
        <v>3</v>
      </c>
      <c r="E17" s="5">
        <v>1</v>
      </c>
      <c r="F17" s="5">
        <v>2</v>
      </c>
      <c r="G17" s="7">
        <v>45685</v>
      </c>
      <c r="H17" s="5" t="s">
        <v>91</v>
      </c>
      <c r="I17" s="5">
        <v>1</v>
      </c>
      <c r="J17" s="5" t="s">
        <v>60</v>
      </c>
      <c r="K17" s="6">
        <f>IF(J17=[12]Legend!$A$66,[12]Legend!$B$66,(IF(J17=[12]Legend!$A$67,[12]Legend!$B$67,IF(J17=[12]Legend!$A$68, [12]Legend!$B$68, IF(J17=[12]Legend!$A$69, [12]Legend!$B$69, IF(J17=[12]Legend!$A$70, [12]Legend!$B$70, IF(J17=[12]Legend!$A$71, [12]Legend!$B$71, IF(J17=[12]Legend!$A$72, [12]Legend!$B$72, (IF(J17=[12]Legend!$A$73, [12]Legend!$B$73, IF(J17=[12]Legend!$A$74, [12]Legend!$B$74, "")))))))))))</f>
        <v>25</v>
      </c>
      <c r="L17" s="5">
        <v>25</v>
      </c>
      <c r="M17" s="5">
        <v>0</v>
      </c>
      <c r="N17" s="5"/>
      <c r="O17" s="5" t="s">
        <v>140</v>
      </c>
    </row>
    <row r="18" spans="1:15" ht="14" customHeight="1" x14ac:dyDescent="0.45">
      <c r="A18" s="7">
        <v>45588</v>
      </c>
      <c r="B18" s="5" t="s">
        <v>99</v>
      </c>
      <c r="C18" s="5" t="s">
        <v>16</v>
      </c>
      <c r="D18" s="5">
        <v>3</v>
      </c>
      <c r="E18" s="5">
        <v>1</v>
      </c>
      <c r="F18" s="5">
        <v>2</v>
      </c>
      <c r="G18" s="7">
        <v>45685</v>
      </c>
      <c r="H18" s="5" t="s">
        <v>91</v>
      </c>
      <c r="I18" s="5">
        <v>1</v>
      </c>
      <c r="J18" s="5" t="s">
        <v>18</v>
      </c>
      <c r="K18" s="6">
        <f>IF(J18=[12]Legend!$A$66,[12]Legend!$B$66,(IF(J18=[12]Legend!$A$67,[12]Legend!$B$67,IF(J18=[12]Legend!$A$68, [12]Legend!$B$68, IF(J18=[12]Legend!$A$69, [12]Legend!$B$69, IF(J18=[12]Legend!$A$70, [12]Legend!$B$70, IF(J18=[12]Legend!$A$71, [12]Legend!$B$71, IF(J18=[12]Legend!$A$72, [12]Legend!$B$72, (IF(J18=[12]Legend!$A$73, [12]Legend!$B$73, IF(J18=[12]Legend!$A$74, [12]Legend!$B$74, "")))))))))))</f>
        <v>5</v>
      </c>
      <c r="L18" s="5">
        <v>5</v>
      </c>
      <c r="M18" s="5">
        <v>0</v>
      </c>
      <c r="N18" s="5"/>
      <c r="O18" s="5" t="s">
        <v>140</v>
      </c>
    </row>
    <row r="19" spans="1:15" ht="14" customHeight="1" x14ac:dyDescent="0.45">
      <c r="A19" s="7">
        <v>45588</v>
      </c>
      <c r="B19" s="5" t="s">
        <v>99</v>
      </c>
      <c r="C19" s="5" t="s">
        <v>16</v>
      </c>
      <c r="D19" s="5">
        <v>3</v>
      </c>
      <c r="E19" s="5">
        <v>1</v>
      </c>
      <c r="F19" s="5">
        <v>2</v>
      </c>
      <c r="G19" s="7">
        <v>45685</v>
      </c>
      <c r="H19" s="5" t="s">
        <v>91</v>
      </c>
      <c r="I19" s="5">
        <v>1</v>
      </c>
      <c r="J19" s="5" t="s">
        <v>69</v>
      </c>
      <c r="K19" s="6">
        <f>IF(J19=[12]Legend!$A$66,[12]Legend!$B$66,(IF(J19=[12]Legend!$A$67,[12]Legend!$B$67,IF(J19=[12]Legend!$A$68, [12]Legend!$B$68, IF(J19=[12]Legend!$A$69, [12]Legend!$B$69, IF(J19=[12]Legend!$A$70, [12]Legend!$B$70, IF(J19=[12]Legend!$A$71, [12]Legend!$B$71, IF(J19=[12]Legend!$A$72, [12]Legend!$B$72, (IF(J19=[12]Legend!$A$73, [12]Legend!$B$73, IF(J19=[12]Legend!$A$74, [12]Legend!$B$74, "")))))))))))</f>
        <v>120</v>
      </c>
      <c r="L19" s="5">
        <v>119</v>
      </c>
      <c r="M19" s="5">
        <v>0</v>
      </c>
      <c r="N19" s="5"/>
      <c r="O19" s="5" t="s">
        <v>140</v>
      </c>
    </row>
    <row r="20" spans="1:15" ht="14" customHeight="1" x14ac:dyDescent="0.45">
      <c r="A20" s="14">
        <v>45574</v>
      </c>
      <c r="B20" s="5" t="s">
        <v>99</v>
      </c>
      <c r="C20" s="5" t="s">
        <v>90</v>
      </c>
      <c r="D20" s="5">
        <v>1</v>
      </c>
      <c r="E20" s="5">
        <v>2</v>
      </c>
      <c r="F20" s="5">
        <v>2</v>
      </c>
      <c r="G20" s="7">
        <v>45621</v>
      </c>
      <c r="H20" s="5" t="s">
        <v>37</v>
      </c>
      <c r="I20" s="5">
        <v>1</v>
      </c>
      <c r="J20" s="5" t="s">
        <v>60</v>
      </c>
      <c r="K20" s="6">
        <f>IF(J20=[4]Legend!$A$67,[4]Legend!$B$67,(IF(J20=[4]Legend!$A$68,[4]Legend!$B$68,IF(J20=[4]Legend!$A$69, [4]Legend!$B$69, IF(J20=[4]Legend!$A$70, [4]Legend!$B$70, IF(J20=[4]Legend!$A$71, [4]Legend!$B$71, IF(J20=[4]Legend!$A$72, [4]Legend!$B$72, IF(J20=[4]Legend!$A$73, [4]Legend!$B$73, (IF(J20=[4]Legend!$A$74, [4]Legend!$B$74, IF(J20=[4]Legend!$A$75, [4]Legend!$B$75, "")))))))))))</f>
        <v>25</v>
      </c>
      <c r="L20" s="5">
        <v>6</v>
      </c>
      <c r="M20" s="5"/>
      <c r="N20" s="5"/>
      <c r="O20" s="5"/>
    </row>
    <row r="21" spans="1:15" ht="14" customHeight="1" x14ac:dyDescent="0.45">
      <c r="A21" s="14">
        <v>45574</v>
      </c>
      <c r="B21" s="5" t="s">
        <v>99</v>
      </c>
      <c r="C21" s="5" t="s">
        <v>90</v>
      </c>
      <c r="D21" s="5">
        <v>1</v>
      </c>
      <c r="E21" s="5">
        <v>2</v>
      </c>
      <c r="F21" s="5">
        <v>2</v>
      </c>
      <c r="G21" s="7">
        <v>45621</v>
      </c>
      <c r="H21" s="5" t="s">
        <v>37</v>
      </c>
      <c r="I21" s="5">
        <v>1</v>
      </c>
      <c r="J21" s="5" t="s">
        <v>18</v>
      </c>
      <c r="K21" s="6">
        <f>IF(J21=[4]Legend!$A$67,[4]Legend!$B$67,(IF(J21=[4]Legend!$A$68,[4]Legend!$B$68,IF(J21=[4]Legend!$A$69, [4]Legend!$B$69, IF(J21=[4]Legend!$A$70, [4]Legend!$B$70, IF(J21=[4]Legend!$A$71, [4]Legend!$B$71, IF(J21=[4]Legend!$A$72, [4]Legend!$B$72, IF(J21=[4]Legend!$A$73, [4]Legend!$B$73, (IF(J21=[4]Legend!$A$74, [4]Legend!$B$74, IF(J21=[4]Legend!$A$75, [4]Legend!$B$75, "")))))))))))</f>
        <v>5</v>
      </c>
      <c r="L21" s="5">
        <v>25</v>
      </c>
      <c r="M21" s="5"/>
      <c r="N21" s="5"/>
      <c r="O21" s="5"/>
    </row>
    <row r="22" spans="1:15" ht="14" customHeight="1" x14ac:dyDescent="0.45">
      <c r="A22" s="14">
        <v>45574</v>
      </c>
      <c r="B22" s="5" t="s">
        <v>99</v>
      </c>
      <c r="C22" s="5" t="s">
        <v>90</v>
      </c>
      <c r="D22" s="5">
        <v>1</v>
      </c>
      <c r="E22" s="5">
        <v>2</v>
      </c>
      <c r="F22" s="5">
        <v>2</v>
      </c>
      <c r="G22" s="7">
        <v>45621</v>
      </c>
      <c r="H22" s="5" t="s">
        <v>37</v>
      </c>
      <c r="I22" s="5">
        <v>1</v>
      </c>
      <c r="J22" s="5" t="s">
        <v>69</v>
      </c>
      <c r="K22" s="6">
        <f>IF(J22=[4]Legend!$A$67,[4]Legend!$B$67,(IF(J22=[4]Legend!$A$68,[4]Legend!$B$68,IF(J22=[4]Legend!$A$69, [4]Legend!$B$69, IF(J22=[4]Legend!$A$70, [4]Legend!$B$70, IF(J22=[4]Legend!$A$71, [4]Legend!$B$71, IF(J22=[4]Legend!$A$72, [4]Legend!$B$72, IF(J22=[4]Legend!$A$73, [4]Legend!$B$73, (IF(J22=[4]Legend!$A$74, [4]Legend!$B$74, IF(J22=[4]Legend!$A$75, [4]Legend!$B$75, "")))))))))))</f>
        <v>120</v>
      </c>
      <c r="L22" s="5">
        <v>120</v>
      </c>
      <c r="M22" s="5"/>
      <c r="N22" s="5"/>
      <c r="O22" s="5"/>
    </row>
    <row r="23" spans="1:15" ht="14" customHeight="1" x14ac:dyDescent="0.45">
      <c r="A23" s="14">
        <v>45574</v>
      </c>
      <c r="B23" s="5" t="s">
        <v>99</v>
      </c>
      <c r="C23" s="5" t="s">
        <v>90</v>
      </c>
      <c r="D23" s="5">
        <v>1</v>
      </c>
      <c r="E23" s="5">
        <v>2</v>
      </c>
      <c r="F23" s="5">
        <v>1</v>
      </c>
      <c r="G23" s="7">
        <v>45621</v>
      </c>
      <c r="H23" s="5" t="s">
        <v>37</v>
      </c>
      <c r="I23" s="5">
        <v>1</v>
      </c>
      <c r="J23" s="5" t="s">
        <v>60</v>
      </c>
      <c r="K23" s="6">
        <f>IF(J23=[4]Legend!$A$67,[4]Legend!$B$67,(IF(J23=[4]Legend!$A$68,[4]Legend!$B$68,IF(J23=[4]Legend!$A$69, [4]Legend!$B$69, IF(J23=[4]Legend!$A$70, [4]Legend!$B$70, IF(J23=[4]Legend!$A$71, [4]Legend!$B$71, IF(J23=[4]Legend!$A$72, [4]Legend!$B$72, IF(J23=[4]Legend!$A$73, [4]Legend!$B$73, (IF(J23=[4]Legend!$A$74, [4]Legend!$B$74, IF(J23=[4]Legend!$A$75, [4]Legend!$B$75, "")))))))))))</f>
        <v>25</v>
      </c>
      <c r="L23" s="5">
        <v>5</v>
      </c>
      <c r="M23" s="5"/>
      <c r="N23" s="5"/>
      <c r="O23" s="5"/>
    </row>
    <row r="24" spans="1:15" ht="14" customHeight="1" x14ac:dyDescent="0.45">
      <c r="A24" s="14">
        <v>45574</v>
      </c>
      <c r="B24" s="5" t="s">
        <v>99</v>
      </c>
      <c r="C24" s="5" t="s">
        <v>90</v>
      </c>
      <c r="D24" s="5">
        <v>1</v>
      </c>
      <c r="E24" s="5">
        <v>2</v>
      </c>
      <c r="F24" s="5">
        <v>1</v>
      </c>
      <c r="G24" s="7">
        <v>45621</v>
      </c>
      <c r="H24" s="5" t="s">
        <v>37</v>
      </c>
      <c r="I24" s="5">
        <v>1</v>
      </c>
      <c r="J24" s="5" t="s">
        <v>18</v>
      </c>
      <c r="K24" s="6">
        <f>IF(J24=[4]Legend!$A$67,[4]Legend!$B$67,(IF(J24=[4]Legend!$A$68,[4]Legend!$B$68,IF(J24=[4]Legend!$A$69, [4]Legend!$B$69, IF(J24=[4]Legend!$A$70, [4]Legend!$B$70, IF(J24=[4]Legend!$A$71, [4]Legend!$B$71, IF(J24=[4]Legend!$A$72, [4]Legend!$B$72, IF(J24=[4]Legend!$A$73, [4]Legend!$B$73, (IF(J24=[4]Legend!$A$74, [4]Legend!$B$74, IF(J24=[4]Legend!$A$75, [4]Legend!$B$75, "")))))))))))</f>
        <v>5</v>
      </c>
      <c r="L24" s="5">
        <v>25</v>
      </c>
      <c r="M24" s="5"/>
      <c r="N24" s="5"/>
      <c r="O24" s="5"/>
    </row>
    <row r="25" spans="1:15" ht="14" customHeight="1" x14ac:dyDescent="0.45">
      <c r="A25" s="14">
        <v>45574</v>
      </c>
      <c r="B25" s="5" t="s">
        <v>99</v>
      </c>
      <c r="C25" s="5" t="s">
        <v>90</v>
      </c>
      <c r="D25" s="5">
        <v>1</v>
      </c>
      <c r="E25" s="5">
        <v>2</v>
      </c>
      <c r="F25" s="5">
        <v>1</v>
      </c>
      <c r="G25" s="7">
        <v>45621</v>
      </c>
      <c r="H25" s="5" t="s">
        <v>37</v>
      </c>
      <c r="I25" s="5">
        <v>1</v>
      </c>
      <c r="J25" s="5" t="s">
        <v>69</v>
      </c>
      <c r="K25" s="6">
        <f>IF(J25=[4]Legend!$A$67,[4]Legend!$B$67,(IF(J25=[4]Legend!$A$68,[4]Legend!$B$68,IF(J25=[4]Legend!$A$69, [4]Legend!$B$69, IF(J25=[4]Legend!$A$70, [4]Legend!$B$70, IF(J25=[4]Legend!$A$71, [4]Legend!$B$71, IF(J25=[4]Legend!$A$72, [4]Legend!$B$72, IF(J25=[4]Legend!$A$73, [4]Legend!$B$73, (IF(J25=[4]Legend!$A$74, [4]Legend!$B$74, IF(J25=[4]Legend!$A$75, [4]Legend!$B$75, "")))))))))))</f>
        <v>120</v>
      </c>
      <c r="L25" s="5">
        <v>119</v>
      </c>
      <c r="M25" s="5"/>
      <c r="N25" s="5"/>
      <c r="O25" s="5"/>
    </row>
    <row r="26" spans="1:15" ht="14" customHeight="1" x14ac:dyDescent="0.45">
      <c r="A26" s="7">
        <v>45581</v>
      </c>
      <c r="B26" s="5" t="s">
        <v>99</v>
      </c>
      <c r="C26" s="5" t="s">
        <v>124</v>
      </c>
      <c r="D26" s="5">
        <v>2</v>
      </c>
      <c r="E26" s="5">
        <v>2</v>
      </c>
      <c r="F26" s="5">
        <v>2</v>
      </c>
      <c r="G26" s="7">
        <v>45363</v>
      </c>
      <c r="H26" s="5" t="s">
        <v>91</v>
      </c>
      <c r="I26" s="5">
        <v>1</v>
      </c>
      <c r="J26" s="5" t="s">
        <v>60</v>
      </c>
      <c r="K26" s="6">
        <f>IF(J26=[9]Legend!$A$67,[9]Legend!$B$67,(IF(J26=[9]Legend!$A$68,[9]Legend!$B$68,IF(J26=[9]Legend!$A$69, [9]Legend!$B$69, IF(J26=[9]Legend!$A$70, [9]Legend!$B$70, IF(J26=[9]Legend!$A$71, [9]Legend!$B$71, IF(J26=[9]Legend!$A$72, [9]Legend!$B$72, IF(J26=[9]Legend!$A$73, [9]Legend!$B$73, (IF(J26=[9]Legend!$A$74, [9]Legend!$B$74, IF(J26=[9]Legend!$A$75, [9]Legend!$B$75, "")))))))))))</f>
        <v>25</v>
      </c>
      <c r="L26" s="5">
        <v>25</v>
      </c>
      <c r="M26" s="5">
        <v>0</v>
      </c>
      <c r="N26" s="5"/>
      <c r="O26" s="5"/>
    </row>
    <row r="27" spans="1:15" ht="14" customHeight="1" x14ac:dyDescent="0.45">
      <c r="A27" s="7">
        <v>45581</v>
      </c>
      <c r="B27" s="5" t="s">
        <v>99</v>
      </c>
      <c r="C27" s="5" t="s">
        <v>124</v>
      </c>
      <c r="D27" s="5">
        <v>2</v>
      </c>
      <c r="E27" s="5">
        <v>2</v>
      </c>
      <c r="F27" s="5">
        <v>2</v>
      </c>
      <c r="G27" s="7">
        <v>45363</v>
      </c>
      <c r="H27" s="5" t="s">
        <v>91</v>
      </c>
      <c r="I27" s="5">
        <v>1</v>
      </c>
      <c r="J27" s="5" t="s">
        <v>18</v>
      </c>
      <c r="K27" s="6">
        <f>IF(J27=[9]Legend!$A$67,[9]Legend!$B$67,(IF(J27=[9]Legend!$A$68,[9]Legend!$B$68,IF(J27=[9]Legend!$A$69, [9]Legend!$B$69, IF(J27=[9]Legend!$A$70, [9]Legend!$B$70, IF(J27=[9]Legend!$A$71, [9]Legend!$B$71, IF(J27=[9]Legend!$A$72, [9]Legend!$B$72, IF(J27=[9]Legend!$A$73, [9]Legend!$B$73, (IF(J27=[9]Legend!$A$74, [9]Legend!$B$74, IF(J27=[9]Legend!$A$75, [9]Legend!$B$75, "")))))))))))</f>
        <v>5</v>
      </c>
      <c r="L27" s="5">
        <v>5</v>
      </c>
      <c r="M27" s="5">
        <v>0</v>
      </c>
      <c r="N27" s="5"/>
      <c r="O27" s="5"/>
    </row>
    <row r="28" spans="1:15" ht="14" customHeight="1" x14ac:dyDescent="0.45">
      <c r="A28" s="7">
        <v>45581</v>
      </c>
      <c r="B28" s="5" t="s">
        <v>99</v>
      </c>
      <c r="C28" s="5" t="s">
        <v>124</v>
      </c>
      <c r="D28" s="5">
        <v>2</v>
      </c>
      <c r="E28" s="5">
        <v>2</v>
      </c>
      <c r="F28" s="5">
        <v>2</v>
      </c>
      <c r="G28" s="7">
        <v>45363</v>
      </c>
      <c r="H28" s="5" t="s">
        <v>91</v>
      </c>
      <c r="I28" s="5">
        <v>1</v>
      </c>
      <c r="J28" s="5" t="s">
        <v>69</v>
      </c>
      <c r="K28" s="6">
        <f>IF(J28=[9]Legend!$A$67,[9]Legend!$B$67,(IF(J28=[9]Legend!$A$68,[9]Legend!$B$68,IF(J28=[9]Legend!$A$69, [9]Legend!$B$69, IF(J28=[9]Legend!$A$70, [9]Legend!$B$70, IF(J28=[9]Legend!$A$71, [9]Legend!$B$71, IF(J28=[9]Legend!$A$72, [9]Legend!$B$72, IF(J28=[9]Legend!$A$73, [9]Legend!$B$73, (IF(J28=[9]Legend!$A$74, [9]Legend!$B$74, IF(J28=[9]Legend!$A$75, [9]Legend!$B$75, "")))))))))))</f>
        <v>120</v>
      </c>
      <c r="L28" s="5">
        <v>119</v>
      </c>
      <c r="M28" s="5">
        <v>0</v>
      </c>
      <c r="N28" s="5"/>
      <c r="O28" s="5"/>
    </row>
    <row r="29" spans="1:15" ht="14" customHeight="1" x14ac:dyDescent="0.45">
      <c r="A29" s="7">
        <v>45581</v>
      </c>
      <c r="B29" s="5" t="s">
        <v>99</v>
      </c>
      <c r="C29" s="5" t="s">
        <v>124</v>
      </c>
      <c r="D29" s="5">
        <v>2</v>
      </c>
      <c r="E29" s="5">
        <v>2</v>
      </c>
      <c r="F29" s="5">
        <v>1</v>
      </c>
      <c r="G29" s="7">
        <v>45363</v>
      </c>
      <c r="H29" s="5" t="s">
        <v>91</v>
      </c>
      <c r="I29" s="5">
        <v>1</v>
      </c>
      <c r="J29" s="5" t="s">
        <v>60</v>
      </c>
      <c r="K29" s="6">
        <f>IF(J29=[9]Legend!$A$67,[9]Legend!$B$67,(IF(J29=[9]Legend!$A$68,[9]Legend!$B$68,IF(J29=[9]Legend!$A$69, [9]Legend!$B$69, IF(J29=[9]Legend!$A$70, [9]Legend!$B$70, IF(J29=[9]Legend!$A$71, [9]Legend!$B$71, IF(J29=[9]Legend!$A$72, [9]Legend!$B$72, IF(J29=[9]Legend!$A$73, [9]Legend!$B$73, (IF(J29=[9]Legend!$A$74, [9]Legend!$B$74, IF(J29=[9]Legend!$A$75, [9]Legend!$B$75, "")))))))))))</f>
        <v>25</v>
      </c>
      <c r="L29" s="5">
        <v>25</v>
      </c>
      <c r="M29" s="5">
        <v>1</v>
      </c>
      <c r="N29" s="5" t="s">
        <v>21</v>
      </c>
      <c r="O29" s="5"/>
    </row>
    <row r="30" spans="1:15" ht="14" customHeight="1" x14ac:dyDescent="0.45">
      <c r="A30" s="7">
        <v>45581</v>
      </c>
      <c r="B30" s="5" t="s">
        <v>99</v>
      </c>
      <c r="C30" s="5" t="s">
        <v>124</v>
      </c>
      <c r="D30" s="5">
        <v>2</v>
      </c>
      <c r="E30" s="5">
        <v>2</v>
      </c>
      <c r="F30" s="5">
        <v>1</v>
      </c>
      <c r="G30" s="7">
        <v>45363</v>
      </c>
      <c r="H30" s="5" t="s">
        <v>91</v>
      </c>
      <c r="I30" s="5">
        <v>1</v>
      </c>
      <c r="J30" s="5" t="s">
        <v>18</v>
      </c>
      <c r="K30" s="6">
        <f>IF(J30=[9]Legend!$A$67,[9]Legend!$B$67,(IF(J30=[9]Legend!$A$68,[9]Legend!$B$68,IF(J30=[9]Legend!$A$69, [9]Legend!$B$69, IF(J30=[9]Legend!$A$70, [9]Legend!$B$70, IF(J30=[9]Legend!$A$71, [9]Legend!$B$71, IF(J30=[9]Legend!$A$72, [9]Legend!$B$72, IF(J30=[9]Legend!$A$73, [9]Legend!$B$73, (IF(J30=[9]Legend!$A$74, [9]Legend!$B$74, IF(J30=[9]Legend!$A$75, [9]Legend!$B$75, "")))))))))))</f>
        <v>5</v>
      </c>
      <c r="L30" s="5">
        <v>5</v>
      </c>
      <c r="M30" s="5">
        <v>0</v>
      </c>
      <c r="N30" s="5"/>
      <c r="O30" s="5"/>
    </row>
    <row r="31" spans="1:15" ht="14" customHeight="1" x14ac:dyDescent="0.45">
      <c r="A31" s="7">
        <v>45581</v>
      </c>
      <c r="B31" s="5" t="s">
        <v>99</v>
      </c>
      <c r="C31" s="5" t="s">
        <v>124</v>
      </c>
      <c r="D31" s="5">
        <v>2</v>
      </c>
      <c r="E31" s="5">
        <v>2</v>
      </c>
      <c r="F31" s="5">
        <v>1</v>
      </c>
      <c r="G31" s="7">
        <v>45363</v>
      </c>
      <c r="H31" s="5" t="s">
        <v>91</v>
      </c>
      <c r="I31" s="5">
        <v>1</v>
      </c>
      <c r="J31" s="5" t="s">
        <v>69</v>
      </c>
      <c r="K31" s="6">
        <f>IF(J31=[9]Legend!$A$67,[9]Legend!$B$67,(IF(J31=[9]Legend!$A$68,[9]Legend!$B$68,IF(J31=[9]Legend!$A$69, [9]Legend!$B$69, IF(J31=[9]Legend!$A$70, [9]Legend!$B$70, IF(J31=[9]Legend!$A$71, [9]Legend!$B$71, IF(J31=[9]Legend!$A$72, [9]Legend!$B$72, IF(J31=[9]Legend!$A$73, [9]Legend!$B$73, (IF(J31=[9]Legend!$A$74, [9]Legend!$B$74, IF(J31=[9]Legend!$A$75, [9]Legend!$B$75, "")))))))))))</f>
        <v>120</v>
      </c>
      <c r="L31" s="5">
        <v>120</v>
      </c>
      <c r="M31" s="5">
        <v>1</v>
      </c>
      <c r="N31" s="5" t="s">
        <v>30</v>
      </c>
      <c r="O31" s="5"/>
    </row>
    <row r="32" spans="1:15" ht="14" customHeight="1" x14ac:dyDescent="0.45">
      <c r="A32" s="7">
        <v>45588</v>
      </c>
      <c r="B32" s="5" t="s">
        <v>99</v>
      </c>
      <c r="C32" s="5" t="s">
        <v>16</v>
      </c>
      <c r="D32" s="5">
        <v>3</v>
      </c>
      <c r="E32" s="5">
        <v>2</v>
      </c>
      <c r="F32" s="5">
        <v>2</v>
      </c>
      <c r="G32" s="7">
        <v>45684</v>
      </c>
      <c r="H32" s="5" t="s">
        <v>91</v>
      </c>
      <c r="I32" s="5">
        <v>1</v>
      </c>
      <c r="J32" s="5" t="s">
        <v>60</v>
      </c>
      <c r="K32" s="6">
        <f>IF(J32=[12]Legend!$A$66,[12]Legend!$B$66,(IF(J32=[12]Legend!$A$67,[12]Legend!$B$67,IF(J32=[12]Legend!$A$68, [12]Legend!$B$68, IF(J32=[12]Legend!$A$69, [12]Legend!$B$69, IF(J32=[12]Legend!$A$70, [12]Legend!$B$70, IF(J32=[12]Legend!$A$71, [12]Legend!$B$71, IF(J32=[12]Legend!$A$72, [12]Legend!$B$72, (IF(J32=[12]Legend!$A$73, [12]Legend!$B$73, IF(J32=[12]Legend!$A$74, [12]Legend!$B$74, "")))))))))))</f>
        <v>25</v>
      </c>
      <c r="L32" s="5">
        <v>25</v>
      </c>
      <c r="M32" s="5">
        <v>1</v>
      </c>
      <c r="N32" s="5" t="s">
        <v>21</v>
      </c>
      <c r="O32" s="5" t="s">
        <v>151</v>
      </c>
    </row>
    <row r="33" spans="1:15" ht="14" customHeight="1" x14ac:dyDescent="0.45">
      <c r="A33" s="7">
        <v>45588</v>
      </c>
      <c r="B33" s="5" t="s">
        <v>99</v>
      </c>
      <c r="C33" s="5" t="s">
        <v>16</v>
      </c>
      <c r="D33" s="5">
        <v>3</v>
      </c>
      <c r="E33" s="5">
        <v>2</v>
      </c>
      <c r="F33" s="5">
        <v>2</v>
      </c>
      <c r="G33" s="7">
        <v>45684</v>
      </c>
      <c r="H33" s="5" t="s">
        <v>91</v>
      </c>
      <c r="I33" s="5">
        <v>1</v>
      </c>
      <c r="J33" s="5" t="s">
        <v>18</v>
      </c>
      <c r="K33" s="6">
        <f>IF(J33=[12]Legend!$A$66,[12]Legend!$B$66,(IF(J33=[12]Legend!$A$67,[12]Legend!$B$67,IF(J33=[12]Legend!$A$68, [12]Legend!$B$68, IF(J33=[12]Legend!$A$69, [12]Legend!$B$69, IF(J33=[12]Legend!$A$70, [12]Legend!$B$70, IF(J33=[12]Legend!$A$71, [12]Legend!$B$71, IF(J33=[12]Legend!$A$72, [12]Legend!$B$72, (IF(J33=[12]Legend!$A$73, [12]Legend!$B$73, IF(J33=[12]Legend!$A$74, [12]Legend!$B$74, "")))))))))))</f>
        <v>5</v>
      </c>
      <c r="L33" s="5">
        <v>5</v>
      </c>
      <c r="M33" s="5">
        <v>0</v>
      </c>
      <c r="N33" s="5"/>
      <c r="O33" s="5"/>
    </row>
    <row r="34" spans="1:15" ht="14" customHeight="1" x14ac:dyDescent="0.45">
      <c r="A34" s="7">
        <v>45588</v>
      </c>
      <c r="B34" s="5" t="s">
        <v>99</v>
      </c>
      <c r="C34" s="5" t="s">
        <v>16</v>
      </c>
      <c r="D34" s="5">
        <v>3</v>
      </c>
      <c r="E34" s="5">
        <v>2</v>
      </c>
      <c r="F34" s="5">
        <v>2</v>
      </c>
      <c r="G34" s="7">
        <v>45684</v>
      </c>
      <c r="H34" s="5" t="s">
        <v>91</v>
      </c>
      <c r="I34" s="5">
        <v>1</v>
      </c>
      <c r="J34" s="5" t="s">
        <v>69</v>
      </c>
      <c r="K34" s="6">
        <f>IF(J34=[12]Legend!$A$66,[12]Legend!$B$66,(IF(J34=[12]Legend!$A$67,[12]Legend!$B$67,IF(J34=[12]Legend!$A$68, [12]Legend!$B$68, IF(J34=[12]Legend!$A$69, [12]Legend!$B$69, IF(J34=[12]Legend!$A$70, [12]Legend!$B$70, IF(J34=[12]Legend!$A$71, [12]Legend!$B$71, IF(J34=[12]Legend!$A$72, [12]Legend!$B$72, (IF(J34=[12]Legend!$A$73, [12]Legend!$B$73, IF(J34=[12]Legend!$A$74, [12]Legend!$B$74, "")))))))))))</f>
        <v>120</v>
      </c>
      <c r="L34" s="5">
        <v>119</v>
      </c>
      <c r="M34" s="5">
        <v>0</v>
      </c>
      <c r="N34" s="5"/>
      <c r="O34" s="5"/>
    </row>
    <row r="35" spans="1:15" ht="14" customHeight="1" x14ac:dyDescent="0.45">
      <c r="A35" s="7">
        <v>45588</v>
      </c>
      <c r="B35" s="5" t="s">
        <v>99</v>
      </c>
      <c r="C35" s="5" t="s">
        <v>16</v>
      </c>
      <c r="D35" s="5">
        <v>3</v>
      </c>
      <c r="E35" s="5">
        <v>2</v>
      </c>
      <c r="F35" s="5">
        <v>1</v>
      </c>
      <c r="G35" s="7">
        <v>45685</v>
      </c>
      <c r="H35" s="5" t="s">
        <v>91</v>
      </c>
      <c r="I35" s="5">
        <v>1</v>
      </c>
      <c r="J35" s="5" t="s">
        <v>60</v>
      </c>
      <c r="K35" s="6">
        <f>IF(J35=[12]Legend!$A$66,[12]Legend!$B$66,(IF(J35=[12]Legend!$A$67,[12]Legend!$B$67,IF(J35=[12]Legend!$A$68, [12]Legend!$B$68, IF(J35=[12]Legend!$A$69, [12]Legend!$B$69, IF(J35=[12]Legend!$A$70, [12]Legend!$B$70, IF(J35=[12]Legend!$A$71, [12]Legend!$B$71, IF(J35=[12]Legend!$A$72, [12]Legend!$B$72, (IF(J35=[12]Legend!$A$73, [12]Legend!$B$73, IF(J35=[12]Legend!$A$74, [12]Legend!$B$74, "")))))))))))</f>
        <v>25</v>
      </c>
      <c r="L35" s="5">
        <v>25</v>
      </c>
      <c r="M35" s="5">
        <v>0</v>
      </c>
      <c r="N35" s="5"/>
      <c r="O35" s="5"/>
    </row>
    <row r="36" spans="1:15" ht="14" customHeight="1" x14ac:dyDescent="0.45">
      <c r="A36" s="7">
        <v>45588</v>
      </c>
      <c r="B36" s="5" t="s">
        <v>99</v>
      </c>
      <c r="C36" s="5" t="s">
        <v>16</v>
      </c>
      <c r="D36" s="5">
        <v>3</v>
      </c>
      <c r="E36" s="5">
        <v>2</v>
      </c>
      <c r="F36" s="5">
        <v>1</v>
      </c>
      <c r="G36" s="7">
        <v>45685</v>
      </c>
      <c r="H36" s="5" t="s">
        <v>91</v>
      </c>
      <c r="I36" s="5">
        <v>1</v>
      </c>
      <c r="J36" s="5" t="s">
        <v>18</v>
      </c>
      <c r="K36" s="6">
        <f>IF(J36=[12]Legend!$A$66,[12]Legend!$B$66,(IF(J36=[12]Legend!$A$67,[12]Legend!$B$67,IF(J36=[12]Legend!$A$68, [12]Legend!$B$68, IF(J36=[12]Legend!$A$69, [12]Legend!$B$69, IF(J36=[12]Legend!$A$70, [12]Legend!$B$70, IF(J36=[12]Legend!$A$71, [12]Legend!$B$71, IF(J36=[12]Legend!$A$72, [12]Legend!$B$72, (IF(J36=[12]Legend!$A$73, [12]Legend!$B$73, IF(J36=[12]Legend!$A$74, [12]Legend!$B$74, "")))))))))))</f>
        <v>5</v>
      </c>
      <c r="L36" s="5">
        <v>5</v>
      </c>
      <c r="M36" s="5">
        <v>0</v>
      </c>
      <c r="N36" s="5"/>
      <c r="O36" s="5"/>
    </row>
    <row r="37" spans="1:15" ht="14" customHeight="1" x14ac:dyDescent="0.45">
      <c r="A37" s="7">
        <v>45588</v>
      </c>
      <c r="B37" s="5" t="s">
        <v>99</v>
      </c>
      <c r="C37" s="5" t="s">
        <v>16</v>
      </c>
      <c r="D37" s="5">
        <v>3</v>
      </c>
      <c r="E37" s="5">
        <v>2</v>
      </c>
      <c r="F37" s="5">
        <v>1</v>
      </c>
      <c r="G37" s="7">
        <v>45685</v>
      </c>
      <c r="H37" s="5" t="s">
        <v>91</v>
      </c>
      <c r="I37" s="5">
        <v>1</v>
      </c>
      <c r="J37" s="5" t="s">
        <v>69</v>
      </c>
      <c r="K37" s="6">
        <f>IF(J37=[12]Legend!$A$66,[12]Legend!$B$66,(IF(J37=[12]Legend!$A$67,[12]Legend!$B$67,IF(J37=[12]Legend!$A$68, [12]Legend!$B$68, IF(J37=[12]Legend!$A$69, [12]Legend!$B$69, IF(J37=[12]Legend!$A$70, [12]Legend!$B$70, IF(J37=[12]Legend!$A$71, [12]Legend!$B$71, IF(J37=[12]Legend!$A$72, [12]Legend!$B$72, (IF(J37=[12]Legend!$A$73, [12]Legend!$B$73, IF(J37=[12]Legend!$A$74, [12]Legend!$B$74, "")))))))))))</f>
        <v>120</v>
      </c>
      <c r="L37" s="5">
        <v>120</v>
      </c>
      <c r="M37" s="5">
        <v>0</v>
      </c>
      <c r="N37" s="5"/>
      <c r="O37" s="5"/>
    </row>
    <row r="38" spans="1:15" ht="14" customHeight="1" x14ac:dyDescent="0.45">
      <c r="A38" s="7">
        <v>45574</v>
      </c>
      <c r="B38" s="5" t="s">
        <v>99</v>
      </c>
      <c r="C38" s="5" t="s">
        <v>90</v>
      </c>
      <c r="D38" s="5">
        <v>1</v>
      </c>
      <c r="E38" s="5">
        <v>3</v>
      </c>
      <c r="F38" s="5">
        <v>1</v>
      </c>
      <c r="G38" s="7">
        <v>45673</v>
      </c>
      <c r="H38" s="5" t="s">
        <v>91</v>
      </c>
      <c r="I38" s="5">
        <v>1</v>
      </c>
      <c r="J38" s="5" t="s">
        <v>60</v>
      </c>
      <c r="K38" s="6">
        <f>IF(J38=[8]Legend!$A$66,[8]Legend!$B$66,(IF(J38=[8]Legend!$A$67,[8]Legend!$B$67,IF(J38=[8]Legend!$A$68, [8]Legend!$B$68, IF(J38=[8]Legend!$A$69, [8]Legend!$B$69, IF(J38=[8]Legend!$A$70, [8]Legend!$B$70, IF(J38=[8]Legend!$A$71, [8]Legend!$B$71, IF(J38=[8]Legend!$A$72, [8]Legend!$B$72, (IF(J38=[8]Legend!$A$73, [8]Legend!$B$73, IF(J38=[8]Legend!$A$74, [8]Legend!$B$74, "")))))))))))</f>
        <v>25</v>
      </c>
      <c r="L38" s="5">
        <v>25</v>
      </c>
      <c r="M38" s="5">
        <v>1</v>
      </c>
      <c r="N38" s="5" t="s">
        <v>21</v>
      </c>
      <c r="O38" s="5" t="s">
        <v>121</v>
      </c>
    </row>
    <row r="39" spans="1:15" ht="14" customHeight="1" x14ac:dyDescent="0.45">
      <c r="A39" s="7">
        <v>45574</v>
      </c>
      <c r="B39" s="5" t="s">
        <v>99</v>
      </c>
      <c r="C39" s="5" t="s">
        <v>90</v>
      </c>
      <c r="D39" s="5">
        <v>1</v>
      </c>
      <c r="E39" s="5">
        <v>3</v>
      </c>
      <c r="F39" s="5">
        <v>1</v>
      </c>
      <c r="G39" s="7">
        <v>45673</v>
      </c>
      <c r="H39" s="5" t="s">
        <v>91</v>
      </c>
      <c r="I39" s="5">
        <v>1</v>
      </c>
      <c r="J39" s="5" t="s">
        <v>18</v>
      </c>
      <c r="K39" s="6">
        <f>IF(J39=[8]Legend!$A$66,[8]Legend!$B$66,(IF(J39=[8]Legend!$A$67,[8]Legend!$B$67,IF(J39=[8]Legend!$A$68, [8]Legend!$B$68, IF(J39=[8]Legend!$A$69, [8]Legend!$B$69, IF(J39=[8]Legend!$A$70, [8]Legend!$B$70, IF(J39=[8]Legend!$A$71, [8]Legend!$B$71, IF(J39=[8]Legend!$A$72, [8]Legend!$B$72, (IF(J39=[8]Legend!$A$73, [8]Legend!$B$73, IF(J39=[8]Legend!$A$74, [8]Legend!$B$74, "")))))))))))</f>
        <v>5</v>
      </c>
      <c r="L39" s="5">
        <v>5</v>
      </c>
      <c r="M39" s="5">
        <v>0</v>
      </c>
      <c r="N39" s="5"/>
      <c r="O39" s="5" t="s">
        <v>122</v>
      </c>
    </row>
    <row r="40" spans="1:15" ht="14" customHeight="1" x14ac:dyDescent="0.45">
      <c r="A40" s="7">
        <v>45574</v>
      </c>
      <c r="B40" s="5" t="s">
        <v>99</v>
      </c>
      <c r="C40" s="5" t="s">
        <v>90</v>
      </c>
      <c r="D40" s="5">
        <v>1</v>
      </c>
      <c r="E40" s="5">
        <v>3</v>
      </c>
      <c r="F40" s="5">
        <v>1</v>
      </c>
      <c r="G40" s="7">
        <v>45673</v>
      </c>
      <c r="H40" s="5" t="s">
        <v>91</v>
      </c>
      <c r="I40" s="5">
        <v>1</v>
      </c>
      <c r="J40" s="5" t="s">
        <v>69</v>
      </c>
      <c r="K40" s="6">
        <f>IF(J40=[8]Legend!$A$66,[8]Legend!$B$66,(IF(J40=[8]Legend!$A$67,[8]Legend!$B$67,IF(J40=[8]Legend!$A$68, [8]Legend!$B$68, IF(J40=[8]Legend!$A$69, [8]Legend!$B$69, IF(J40=[8]Legend!$A$70, [8]Legend!$B$70, IF(J40=[8]Legend!$A$71, [8]Legend!$B$71, IF(J40=[8]Legend!$A$72, [8]Legend!$B$72, (IF(J40=[8]Legend!$A$73, [8]Legend!$B$73, IF(J40=[8]Legend!$A$74, [8]Legend!$B$74, "")))))))))))</f>
        <v>120</v>
      </c>
      <c r="L40" s="5">
        <v>120</v>
      </c>
      <c r="M40" s="5">
        <v>4</v>
      </c>
      <c r="N40" s="5" t="s">
        <v>21</v>
      </c>
      <c r="O40" s="5" t="s">
        <v>122</v>
      </c>
    </row>
    <row r="41" spans="1:15" ht="14" customHeight="1" x14ac:dyDescent="0.45">
      <c r="A41" s="7">
        <v>45574</v>
      </c>
      <c r="B41" s="5" t="s">
        <v>99</v>
      </c>
      <c r="C41" s="5" t="s">
        <v>90</v>
      </c>
      <c r="D41" s="5">
        <v>1</v>
      </c>
      <c r="E41" s="5">
        <v>3</v>
      </c>
      <c r="F41" s="5">
        <v>2</v>
      </c>
      <c r="G41" s="7">
        <v>45673</v>
      </c>
      <c r="H41" s="5" t="s">
        <v>91</v>
      </c>
      <c r="I41" s="5">
        <v>1</v>
      </c>
      <c r="J41" s="5" t="s">
        <v>60</v>
      </c>
      <c r="K41" s="6">
        <f>IF(J41=[8]Legend!$A$66,[8]Legend!$B$66,(IF(J41=[8]Legend!$A$67,[8]Legend!$B$67,IF(J41=[8]Legend!$A$68, [8]Legend!$B$68, IF(J41=[8]Legend!$A$69, [8]Legend!$B$69, IF(J41=[8]Legend!$A$70, [8]Legend!$B$70, IF(J41=[8]Legend!$A$71, [8]Legend!$B$71, IF(J41=[8]Legend!$A$72, [8]Legend!$B$72, (IF(J41=[8]Legend!$A$73, [8]Legend!$B$73, IF(J41=[8]Legend!$A$74, [8]Legend!$B$74, "")))))))))))</f>
        <v>25</v>
      </c>
      <c r="L41" s="5">
        <v>25</v>
      </c>
      <c r="M41" s="5">
        <v>0</v>
      </c>
      <c r="N41" s="5"/>
      <c r="O41" s="5"/>
    </row>
    <row r="42" spans="1:15" ht="14" customHeight="1" x14ac:dyDescent="0.45">
      <c r="A42" s="7">
        <v>45574</v>
      </c>
      <c r="B42" s="5" t="s">
        <v>99</v>
      </c>
      <c r="C42" s="5" t="s">
        <v>90</v>
      </c>
      <c r="D42" s="5">
        <v>1</v>
      </c>
      <c r="E42" s="5">
        <v>3</v>
      </c>
      <c r="F42" s="5">
        <v>2</v>
      </c>
      <c r="G42" s="7">
        <v>45673</v>
      </c>
      <c r="H42" s="5" t="s">
        <v>91</v>
      </c>
      <c r="I42" s="5">
        <v>1</v>
      </c>
      <c r="J42" s="5" t="s">
        <v>18</v>
      </c>
      <c r="K42" s="6">
        <f>IF(J42=[8]Legend!$A$66,[8]Legend!$B$66,(IF(J42=[8]Legend!$A$67,[8]Legend!$B$67,IF(J42=[8]Legend!$A$68, [8]Legend!$B$68, IF(J42=[8]Legend!$A$69, [8]Legend!$B$69, IF(J42=[8]Legend!$A$70, [8]Legend!$B$70, IF(J42=[8]Legend!$A$71, [8]Legend!$B$71, IF(J42=[8]Legend!$A$72, [8]Legend!$B$72, (IF(J42=[8]Legend!$A$73, [8]Legend!$B$73, IF(J42=[8]Legend!$A$74, [8]Legend!$B$74, "")))))))))))</f>
        <v>5</v>
      </c>
      <c r="L42" s="5">
        <v>5</v>
      </c>
      <c r="M42" s="5">
        <v>0</v>
      </c>
      <c r="N42" s="5"/>
      <c r="O42" s="5"/>
    </row>
    <row r="43" spans="1:15" ht="14" customHeight="1" x14ac:dyDescent="0.45">
      <c r="A43" s="7">
        <v>45574</v>
      </c>
      <c r="B43" s="5" t="s">
        <v>99</v>
      </c>
      <c r="C43" s="5" t="s">
        <v>90</v>
      </c>
      <c r="D43" s="5">
        <v>1</v>
      </c>
      <c r="E43" s="5">
        <v>3</v>
      </c>
      <c r="F43" s="5">
        <v>2</v>
      </c>
      <c r="G43" s="7">
        <v>45673</v>
      </c>
      <c r="H43" s="5" t="s">
        <v>91</v>
      </c>
      <c r="I43" s="5">
        <v>1</v>
      </c>
      <c r="J43" s="5" t="s">
        <v>69</v>
      </c>
      <c r="K43" s="6">
        <f>IF(J43=[8]Legend!$A$66,[8]Legend!$B$66,(IF(J43=[8]Legend!$A$67,[8]Legend!$B$67,IF(J43=[8]Legend!$A$68, [8]Legend!$B$68, IF(J43=[8]Legend!$A$69, [8]Legend!$B$69, IF(J43=[8]Legend!$A$70, [8]Legend!$B$70, IF(J43=[8]Legend!$A$71, [8]Legend!$B$71, IF(J43=[8]Legend!$A$72, [8]Legend!$B$72, (IF(J43=[8]Legend!$A$73, [8]Legend!$B$73, IF(J43=[8]Legend!$A$74, [8]Legend!$B$74, "")))))))))))</f>
        <v>120</v>
      </c>
      <c r="L43" s="5">
        <v>120</v>
      </c>
      <c r="M43" s="5">
        <v>0</v>
      </c>
      <c r="N43" s="5"/>
      <c r="O43" s="5"/>
    </row>
    <row r="44" spans="1:15" ht="14" customHeight="1" x14ac:dyDescent="0.45">
      <c r="A44" s="7">
        <v>45581</v>
      </c>
      <c r="B44" s="5" t="s">
        <v>99</v>
      </c>
      <c r="C44" s="5" t="s">
        <v>124</v>
      </c>
      <c r="D44" s="5">
        <v>2</v>
      </c>
      <c r="E44" s="5">
        <v>3</v>
      </c>
      <c r="F44" s="5">
        <v>2</v>
      </c>
      <c r="G44" s="7">
        <v>45363</v>
      </c>
      <c r="H44" s="5" t="s">
        <v>91</v>
      </c>
      <c r="I44" s="5">
        <v>1</v>
      </c>
      <c r="J44" s="5" t="s">
        <v>60</v>
      </c>
      <c r="K44" s="6">
        <f>IF(J44=[9]Legend!$A$67,[9]Legend!$B$67,(IF(J44=[9]Legend!$A$68,[9]Legend!$B$68,IF(J44=[9]Legend!$A$69, [9]Legend!$B$69, IF(J44=[9]Legend!$A$70, [9]Legend!$B$70, IF(J44=[9]Legend!$A$71, [9]Legend!$B$71, IF(J44=[9]Legend!$A$72, [9]Legend!$B$72, IF(J44=[9]Legend!$A$73, [9]Legend!$B$73, (IF(J44=[9]Legend!$A$74, [9]Legend!$B$74, IF(J44=[9]Legend!$A$75, [9]Legend!$B$75, "")))))))))))</f>
        <v>25</v>
      </c>
      <c r="L44" s="5">
        <v>25</v>
      </c>
      <c r="M44" s="5">
        <v>0</v>
      </c>
      <c r="N44" s="5"/>
      <c r="O44" s="5"/>
    </row>
    <row r="45" spans="1:15" ht="14" customHeight="1" x14ac:dyDescent="0.45">
      <c r="A45" s="7">
        <v>45581</v>
      </c>
      <c r="B45" s="5" t="s">
        <v>99</v>
      </c>
      <c r="C45" s="5" t="s">
        <v>124</v>
      </c>
      <c r="D45" s="5">
        <v>2</v>
      </c>
      <c r="E45" s="5">
        <v>3</v>
      </c>
      <c r="F45" s="5">
        <v>2</v>
      </c>
      <c r="G45" s="7">
        <v>45363</v>
      </c>
      <c r="H45" s="5" t="s">
        <v>91</v>
      </c>
      <c r="I45" s="5">
        <v>1</v>
      </c>
      <c r="J45" s="5" t="s">
        <v>18</v>
      </c>
      <c r="K45" s="6">
        <f>IF(J45=[9]Legend!$A$67,[9]Legend!$B$67,(IF(J45=[9]Legend!$A$68,[9]Legend!$B$68,IF(J45=[9]Legend!$A$69, [9]Legend!$B$69, IF(J45=[9]Legend!$A$70, [9]Legend!$B$70, IF(J45=[9]Legend!$A$71, [9]Legend!$B$71, IF(J45=[9]Legend!$A$72, [9]Legend!$B$72, IF(J45=[9]Legend!$A$73, [9]Legend!$B$73, (IF(J45=[9]Legend!$A$74, [9]Legend!$B$74, IF(J45=[9]Legend!$A$75, [9]Legend!$B$75, "")))))))))))</f>
        <v>5</v>
      </c>
      <c r="L45" s="5">
        <v>5</v>
      </c>
      <c r="M45" s="5">
        <v>0</v>
      </c>
      <c r="N45" s="5"/>
      <c r="O45" s="5"/>
    </row>
    <row r="46" spans="1:15" ht="14" customHeight="1" x14ac:dyDescent="0.45">
      <c r="A46" s="7">
        <v>45581</v>
      </c>
      <c r="B46" s="5" t="s">
        <v>99</v>
      </c>
      <c r="C46" s="5" t="s">
        <v>124</v>
      </c>
      <c r="D46" s="5">
        <v>2</v>
      </c>
      <c r="E46" s="5">
        <v>3</v>
      </c>
      <c r="F46" s="5">
        <v>2</v>
      </c>
      <c r="G46" s="7">
        <v>45363</v>
      </c>
      <c r="H46" s="5" t="s">
        <v>91</v>
      </c>
      <c r="I46" s="5">
        <v>1</v>
      </c>
      <c r="J46" s="5" t="s">
        <v>69</v>
      </c>
      <c r="K46" s="6">
        <f>IF(J46=[9]Legend!$A$67,[9]Legend!$B$67,(IF(J46=[9]Legend!$A$68,[9]Legend!$B$68,IF(J46=[9]Legend!$A$69, [9]Legend!$B$69, IF(J46=[9]Legend!$A$70, [9]Legend!$B$70, IF(J46=[9]Legend!$A$71, [9]Legend!$B$71, IF(J46=[9]Legend!$A$72, [9]Legend!$B$72, IF(J46=[9]Legend!$A$73, [9]Legend!$B$73, (IF(J46=[9]Legend!$A$74, [9]Legend!$B$74, IF(J46=[9]Legend!$A$75, [9]Legend!$B$75, "")))))))))))</f>
        <v>120</v>
      </c>
      <c r="L46" s="5">
        <v>120</v>
      </c>
      <c r="M46" s="5">
        <v>1</v>
      </c>
      <c r="N46" s="5" t="s">
        <v>30</v>
      </c>
      <c r="O46" s="5"/>
    </row>
    <row r="47" spans="1:15" ht="14" customHeight="1" x14ac:dyDescent="0.45">
      <c r="A47" s="7">
        <v>45581</v>
      </c>
      <c r="B47" s="5" t="s">
        <v>99</v>
      </c>
      <c r="C47" s="5" t="s">
        <v>124</v>
      </c>
      <c r="D47" s="5">
        <v>2</v>
      </c>
      <c r="E47" s="5">
        <v>3</v>
      </c>
      <c r="F47" s="5">
        <v>1</v>
      </c>
      <c r="G47" s="7">
        <v>45733</v>
      </c>
      <c r="H47" s="5" t="s">
        <v>91</v>
      </c>
      <c r="I47" s="5">
        <v>1</v>
      </c>
      <c r="J47" s="5" t="s">
        <v>60</v>
      </c>
      <c r="K47" s="6">
        <f>IF(J47=[9]Legend!$A$67,[9]Legend!$B$67,(IF(J47=[9]Legend!$A$68,[9]Legend!$B$68,IF(J47=[9]Legend!$A$69, [9]Legend!$B$69, IF(J47=[9]Legend!$A$70, [9]Legend!$B$70, IF(J47=[9]Legend!$A$71, [9]Legend!$B$71, IF(J47=[9]Legend!$A$72, [9]Legend!$B$72, IF(J47=[9]Legend!$A$73, [9]Legend!$B$73, (IF(J47=[9]Legend!$A$74, [9]Legend!$B$74, IF(J47=[9]Legend!$A$75, [9]Legend!$B$75, "")))))))))))</f>
        <v>25</v>
      </c>
      <c r="L47" s="5">
        <v>25</v>
      </c>
      <c r="M47" s="5">
        <v>0</v>
      </c>
      <c r="N47" s="5"/>
      <c r="O47" s="5"/>
    </row>
    <row r="48" spans="1:15" ht="14" customHeight="1" x14ac:dyDescent="0.45">
      <c r="A48" s="7">
        <v>45581</v>
      </c>
      <c r="B48" s="5" t="s">
        <v>99</v>
      </c>
      <c r="C48" s="5" t="s">
        <v>124</v>
      </c>
      <c r="D48" s="5">
        <v>2</v>
      </c>
      <c r="E48" s="5">
        <v>3</v>
      </c>
      <c r="F48" s="5">
        <v>1</v>
      </c>
      <c r="G48" s="7">
        <v>45733</v>
      </c>
      <c r="H48" s="5" t="s">
        <v>91</v>
      </c>
      <c r="I48" s="5">
        <v>1</v>
      </c>
      <c r="J48" s="5" t="s">
        <v>18</v>
      </c>
      <c r="K48" s="6">
        <f>IF(J48=[9]Legend!$A$67,[9]Legend!$B$67,(IF(J48=[9]Legend!$A$68,[9]Legend!$B$68,IF(J48=[9]Legend!$A$69, [9]Legend!$B$69, IF(J48=[9]Legend!$A$70, [9]Legend!$B$70, IF(J48=[9]Legend!$A$71, [9]Legend!$B$71, IF(J48=[9]Legend!$A$72, [9]Legend!$B$72, IF(J48=[9]Legend!$A$73, [9]Legend!$B$73, (IF(J48=[9]Legend!$A$74, [9]Legend!$B$74, IF(J48=[9]Legend!$A$75, [9]Legend!$B$75, "")))))))))))</f>
        <v>5</v>
      </c>
      <c r="L48" s="5">
        <v>5</v>
      </c>
      <c r="M48" s="5">
        <v>0</v>
      </c>
      <c r="N48" s="5"/>
      <c r="O48" s="5"/>
    </row>
    <row r="49" spans="1:15" ht="14" customHeight="1" x14ac:dyDescent="0.45">
      <c r="A49" s="7">
        <v>45581</v>
      </c>
      <c r="B49" s="5" t="s">
        <v>99</v>
      </c>
      <c r="C49" s="5" t="s">
        <v>124</v>
      </c>
      <c r="D49" s="5">
        <v>2</v>
      </c>
      <c r="E49" s="5">
        <v>3</v>
      </c>
      <c r="F49" s="5">
        <v>1</v>
      </c>
      <c r="G49" s="7">
        <v>45733</v>
      </c>
      <c r="H49" s="5" t="s">
        <v>91</v>
      </c>
      <c r="I49" s="5">
        <v>1</v>
      </c>
      <c r="J49" s="5" t="s">
        <v>69</v>
      </c>
      <c r="K49" s="6">
        <f>IF(J49=[9]Legend!$A$67,[9]Legend!$B$67,(IF(J49=[9]Legend!$A$68,[9]Legend!$B$68,IF(J49=[9]Legend!$A$69, [9]Legend!$B$69, IF(J49=[9]Legend!$A$70, [9]Legend!$B$70, IF(J49=[9]Legend!$A$71, [9]Legend!$B$71, IF(J49=[9]Legend!$A$72, [9]Legend!$B$72, IF(J49=[9]Legend!$A$73, [9]Legend!$B$73, (IF(J49=[9]Legend!$A$74, [9]Legend!$B$74, IF(J49=[9]Legend!$A$75, [9]Legend!$B$75, "")))))))))))</f>
        <v>120</v>
      </c>
      <c r="L49" s="5">
        <v>119</v>
      </c>
      <c r="M49" s="5">
        <v>0</v>
      </c>
      <c r="N49" s="5"/>
      <c r="O49" s="5"/>
    </row>
    <row r="50" spans="1:15" ht="14" customHeight="1" x14ac:dyDescent="0.45">
      <c r="A50" s="7">
        <v>45588</v>
      </c>
      <c r="B50" s="5" t="s">
        <v>99</v>
      </c>
      <c r="C50" s="5" t="s">
        <v>16</v>
      </c>
      <c r="D50" s="5">
        <v>3</v>
      </c>
      <c r="E50" s="5">
        <v>3</v>
      </c>
      <c r="F50" s="5">
        <v>2</v>
      </c>
      <c r="G50" s="7">
        <v>45685</v>
      </c>
      <c r="H50" s="5" t="s">
        <v>91</v>
      </c>
      <c r="I50" s="5">
        <v>1</v>
      </c>
      <c r="J50" s="5" t="s">
        <v>60</v>
      </c>
      <c r="K50" s="6">
        <f>IF(J50=[12]Legend!$A$66,[12]Legend!$B$66,(IF(J50=[12]Legend!$A$67,[12]Legend!$B$67,IF(J50=[12]Legend!$A$68, [12]Legend!$B$68, IF(J50=[12]Legend!$A$69, [12]Legend!$B$69, IF(J50=[12]Legend!$A$70, [12]Legend!$B$70, IF(J50=[12]Legend!$A$71, [12]Legend!$B$71, IF(J50=[12]Legend!$A$72, [12]Legend!$B$72, (IF(J50=[12]Legend!$A$73, [12]Legend!$B$73, IF(J50=[12]Legend!$A$74, [12]Legend!$B$74, "")))))))))))</f>
        <v>25</v>
      </c>
      <c r="L50" s="5">
        <v>26</v>
      </c>
      <c r="M50" s="5">
        <v>0</v>
      </c>
      <c r="N50" s="5"/>
      <c r="O50" s="5" t="s">
        <v>152</v>
      </c>
    </row>
    <row r="51" spans="1:15" ht="14" customHeight="1" x14ac:dyDescent="0.45">
      <c r="A51" s="7">
        <v>45588</v>
      </c>
      <c r="B51" s="5" t="s">
        <v>99</v>
      </c>
      <c r="C51" s="5" t="s">
        <v>16</v>
      </c>
      <c r="D51" s="5">
        <v>3</v>
      </c>
      <c r="E51" s="5">
        <v>3</v>
      </c>
      <c r="F51" s="5">
        <v>2</v>
      </c>
      <c r="G51" s="7">
        <v>45685</v>
      </c>
      <c r="H51" s="5" t="s">
        <v>91</v>
      </c>
      <c r="I51" s="5">
        <v>1</v>
      </c>
      <c r="J51" s="5" t="s">
        <v>18</v>
      </c>
      <c r="K51" s="6">
        <f>IF(J51=[12]Legend!$A$66,[12]Legend!$B$66,(IF(J51=[12]Legend!$A$67,[12]Legend!$B$67,IF(J51=[12]Legend!$A$68, [12]Legend!$B$68, IF(J51=[12]Legend!$A$69, [12]Legend!$B$69, IF(J51=[12]Legend!$A$70, [12]Legend!$B$70, IF(J51=[12]Legend!$A$71, [12]Legend!$B$71, IF(J51=[12]Legend!$A$72, [12]Legend!$B$72, (IF(J51=[12]Legend!$A$73, [12]Legend!$B$73, IF(J51=[12]Legend!$A$74, [12]Legend!$B$74, "")))))))))))</f>
        <v>5</v>
      </c>
      <c r="L51" s="5">
        <v>5</v>
      </c>
      <c r="M51" s="5">
        <v>0</v>
      </c>
      <c r="N51" s="5"/>
      <c r="O51" s="5" t="s">
        <v>152</v>
      </c>
    </row>
    <row r="52" spans="1:15" ht="14" customHeight="1" x14ac:dyDescent="0.45">
      <c r="A52" s="7">
        <v>45588</v>
      </c>
      <c r="B52" s="5" t="s">
        <v>99</v>
      </c>
      <c r="C52" s="5" t="s">
        <v>16</v>
      </c>
      <c r="D52" s="5">
        <v>3</v>
      </c>
      <c r="E52" s="5">
        <v>3</v>
      </c>
      <c r="F52" s="5">
        <v>2</v>
      </c>
      <c r="G52" s="7">
        <v>45685</v>
      </c>
      <c r="H52" s="5" t="s">
        <v>91</v>
      </c>
      <c r="I52" s="5">
        <v>1</v>
      </c>
      <c r="J52" s="5" t="s">
        <v>69</v>
      </c>
      <c r="K52" s="6">
        <f>IF(J52=[12]Legend!$A$66,[12]Legend!$B$66,(IF(J52=[12]Legend!$A$67,[12]Legend!$B$67,IF(J52=[12]Legend!$A$68, [12]Legend!$B$68, IF(J52=[12]Legend!$A$69, [12]Legend!$B$69, IF(J52=[12]Legend!$A$70, [12]Legend!$B$70, IF(J52=[12]Legend!$A$71, [12]Legend!$B$71, IF(J52=[12]Legend!$A$72, [12]Legend!$B$72, (IF(J52=[12]Legend!$A$73, [12]Legend!$B$73, IF(J52=[12]Legend!$A$74, [12]Legend!$B$74, "")))))))))))</f>
        <v>120</v>
      </c>
      <c r="L52" s="5">
        <v>120</v>
      </c>
      <c r="M52" s="5">
        <v>0</v>
      </c>
      <c r="N52" s="5"/>
      <c r="O52" s="5" t="s">
        <v>152</v>
      </c>
    </row>
    <row r="53" spans="1:15" ht="14" customHeight="1" x14ac:dyDescent="0.45">
      <c r="A53" s="7">
        <v>45588</v>
      </c>
      <c r="B53" s="5" t="s">
        <v>99</v>
      </c>
      <c r="C53" s="5" t="s">
        <v>16</v>
      </c>
      <c r="D53" s="5">
        <v>3</v>
      </c>
      <c r="E53" s="5">
        <v>3</v>
      </c>
      <c r="F53" s="5">
        <v>1</v>
      </c>
      <c r="G53" s="7">
        <v>45686</v>
      </c>
      <c r="H53" s="5" t="s">
        <v>91</v>
      </c>
      <c r="I53" s="5">
        <v>1</v>
      </c>
      <c r="J53" s="5" t="s">
        <v>60</v>
      </c>
      <c r="K53" s="6">
        <f>IF(J53=[12]Legend!$A$66,[12]Legend!$B$66,(IF(J53=[12]Legend!$A$67,[12]Legend!$B$67,IF(J53=[12]Legend!$A$68, [12]Legend!$B$68, IF(J53=[12]Legend!$A$69, [12]Legend!$B$69, IF(J53=[12]Legend!$A$70, [12]Legend!$B$70, IF(J53=[12]Legend!$A$71, [12]Legend!$B$71, IF(J53=[12]Legend!$A$72, [12]Legend!$B$72, (IF(J53=[12]Legend!$A$73, [12]Legend!$B$73, IF(J53=[12]Legend!$A$74, [12]Legend!$B$74, "")))))))))))</f>
        <v>25</v>
      </c>
      <c r="L53" s="5">
        <v>25</v>
      </c>
      <c r="M53" s="5">
        <v>0</v>
      </c>
      <c r="N53" s="5"/>
      <c r="O53" s="5" t="s">
        <v>152</v>
      </c>
    </row>
    <row r="54" spans="1:15" ht="14" customHeight="1" x14ac:dyDescent="0.45">
      <c r="A54" s="7">
        <v>45588</v>
      </c>
      <c r="B54" s="5" t="s">
        <v>99</v>
      </c>
      <c r="C54" s="5" t="s">
        <v>16</v>
      </c>
      <c r="D54" s="5">
        <v>3</v>
      </c>
      <c r="E54" s="5">
        <v>3</v>
      </c>
      <c r="F54" s="5">
        <v>1</v>
      </c>
      <c r="G54" s="7">
        <v>45686</v>
      </c>
      <c r="H54" s="5" t="s">
        <v>91</v>
      </c>
      <c r="I54" s="5">
        <v>1</v>
      </c>
      <c r="J54" s="5" t="s">
        <v>18</v>
      </c>
      <c r="K54" s="6">
        <f>IF(J54=[12]Legend!$A$66,[12]Legend!$B$66,(IF(J54=[12]Legend!$A$67,[12]Legend!$B$67,IF(J54=[12]Legend!$A$68, [12]Legend!$B$68, IF(J54=[12]Legend!$A$69, [12]Legend!$B$69, IF(J54=[12]Legend!$A$70, [12]Legend!$B$70, IF(J54=[12]Legend!$A$71, [12]Legend!$B$71, IF(J54=[12]Legend!$A$72, [12]Legend!$B$72, (IF(J54=[12]Legend!$A$73, [12]Legend!$B$73, IF(J54=[12]Legend!$A$74, [12]Legend!$B$74, "")))))))))))</f>
        <v>5</v>
      </c>
      <c r="L54" s="5">
        <v>5</v>
      </c>
      <c r="M54" s="5">
        <v>0</v>
      </c>
      <c r="N54" s="5"/>
      <c r="O54" s="5" t="s">
        <v>152</v>
      </c>
    </row>
    <row r="55" spans="1:15" ht="14" customHeight="1" x14ac:dyDescent="0.45">
      <c r="A55" s="7">
        <v>45588</v>
      </c>
      <c r="B55" s="5" t="s">
        <v>99</v>
      </c>
      <c r="C55" s="5" t="s">
        <v>16</v>
      </c>
      <c r="D55" s="5">
        <v>3</v>
      </c>
      <c r="E55" s="5">
        <v>3</v>
      </c>
      <c r="F55" s="5">
        <v>1</v>
      </c>
      <c r="G55" s="7">
        <v>45686</v>
      </c>
      <c r="H55" s="5" t="s">
        <v>91</v>
      </c>
      <c r="I55" s="5">
        <v>1</v>
      </c>
      <c r="J55" s="5" t="s">
        <v>69</v>
      </c>
      <c r="K55" s="6">
        <f>IF(J55=[12]Legend!$A$66,[12]Legend!$B$66,(IF(J55=[12]Legend!$A$67,[12]Legend!$B$67,IF(J55=[12]Legend!$A$68, [12]Legend!$B$68, IF(J55=[12]Legend!$A$69, [12]Legend!$B$69, IF(J55=[12]Legend!$A$70, [12]Legend!$B$70, IF(J55=[12]Legend!$A$71, [12]Legend!$B$71, IF(J55=[12]Legend!$A$72, [12]Legend!$B$72, (IF(J55=[12]Legend!$A$73, [12]Legend!$B$73, IF(J55=[12]Legend!$A$74, [12]Legend!$B$74, "")))))))))))</f>
        <v>120</v>
      </c>
      <c r="L55" s="5">
        <v>121</v>
      </c>
      <c r="M55" s="5">
        <v>2</v>
      </c>
      <c r="N55" s="5" t="s">
        <v>30</v>
      </c>
      <c r="O55" s="5" t="s">
        <v>153</v>
      </c>
    </row>
    <row r="56" spans="1:15" ht="14" customHeight="1" x14ac:dyDescent="0.45">
      <c r="A56" s="14">
        <v>45574</v>
      </c>
      <c r="B56" s="5" t="s">
        <v>99</v>
      </c>
      <c r="C56" s="5" t="s">
        <v>90</v>
      </c>
      <c r="D56" s="5">
        <v>1</v>
      </c>
      <c r="E56" s="5">
        <v>4</v>
      </c>
      <c r="F56" s="5">
        <v>2</v>
      </c>
      <c r="G56" s="7">
        <v>45621</v>
      </c>
      <c r="H56" s="5" t="s">
        <v>37</v>
      </c>
      <c r="I56" s="5">
        <v>1</v>
      </c>
      <c r="J56" s="5" t="s">
        <v>60</v>
      </c>
      <c r="K56" s="6">
        <f>IF(J56=[4]Legend!$A$67,[4]Legend!$B$67,(IF(J56=[4]Legend!$A$68,[4]Legend!$B$68,IF(J56=[4]Legend!$A$69, [4]Legend!$B$69, IF(J56=[4]Legend!$A$70, [4]Legend!$B$70, IF(J56=[4]Legend!$A$71, [4]Legend!$B$71, IF(J56=[4]Legend!$A$72, [4]Legend!$B$72, IF(J56=[4]Legend!$A$73, [4]Legend!$B$73, (IF(J56=[4]Legend!$A$74, [4]Legend!$B$74, IF(J56=[4]Legend!$A$75, [4]Legend!$B$75, "")))))))))))</f>
        <v>25</v>
      </c>
      <c r="L56" s="5">
        <v>5</v>
      </c>
      <c r="M56" s="5"/>
      <c r="N56" s="5"/>
      <c r="O56" s="5"/>
    </row>
    <row r="57" spans="1:15" ht="14" customHeight="1" x14ac:dyDescent="0.45">
      <c r="A57" s="14">
        <v>45574</v>
      </c>
      <c r="B57" s="5" t="s">
        <v>99</v>
      </c>
      <c r="C57" s="5" t="s">
        <v>90</v>
      </c>
      <c r="D57" s="5">
        <v>1</v>
      </c>
      <c r="E57" s="5">
        <v>4</v>
      </c>
      <c r="F57" s="5">
        <v>2</v>
      </c>
      <c r="G57" s="7">
        <v>45621</v>
      </c>
      <c r="H57" s="5" t="s">
        <v>37</v>
      </c>
      <c r="I57" s="5">
        <v>1</v>
      </c>
      <c r="J57" s="5" t="s">
        <v>18</v>
      </c>
      <c r="K57" s="6">
        <f>IF(J57=[4]Legend!$A$67,[4]Legend!$B$67,(IF(J57=[4]Legend!$A$68,[4]Legend!$B$68,IF(J57=[4]Legend!$A$69, [4]Legend!$B$69, IF(J57=[4]Legend!$A$70, [4]Legend!$B$70, IF(J57=[4]Legend!$A$71, [4]Legend!$B$71, IF(J57=[4]Legend!$A$72, [4]Legend!$B$72, IF(J57=[4]Legend!$A$73, [4]Legend!$B$73, (IF(J57=[4]Legend!$A$74, [4]Legend!$B$74, IF(J57=[4]Legend!$A$75, [4]Legend!$B$75, "")))))))))))</f>
        <v>5</v>
      </c>
      <c r="L57" s="5">
        <v>25</v>
      </c>
      <c r="M57" s="5"/>
      <c r="N57" s="5"/>
      <c r="O57" s="5"/>
    </row>
    <row r="58" spans="1:15" ht="14" customHeight="1" x14ac:dyDescent="0.45">
      <c r="A58" s="14">
        <v>45574</v>
      </c>
      <c r="B58" s="5" t="s">
        <v>99</v>
      </c>
      <c r="C58" s="5" t="s">
        <v>90</v>
      </c>
      <c r="D58" s="5">
        <v>1</v>
      </c>
      <c r="E58" s="5">
        <v>4</v>
      </c>
      <c r="F58" s="5">
        <v>2</v>
      </c>
      <c r="G58" s="7">
        <v>45621</v>
      </c>
      <c r="H58" s="5" t="s">
        <v>37</v>
      </c>
      <c r="I58" s="5">
        <v>1</v>
      </c>
      <c r="J58" s="5" t="s">
        <v>69</v>
      </c>
      <c r="K58" s="6">
        <f>IF(J58=[4]Legend!$A$67,[4]Legend!$B$67,(IF(J58=[4]Legend!$A$68,[4]Legend!$B$68,IF(J58=[4]Legend!$A$69, [4]Legend!$B$69, IF(J58=[4]Legend!$A$70, [4]Legend!$B$70, IF(J58=[4]Legend!$A$71, [4]Legend!$B$71, IF(J58=[4]Legend!$A$72, [4]Legend!$B$72, IF(J58=[4]Legend!$A$73, [4]Legend!$B$73, (IF(J58=[4]Legend!$A$74, [4]Legend!$B$74, IF(J58=[4]Legend!$A$75, [4]Legend!$B$75, "")))))))))))</f>
        <v>120</v>
      </c>
      <c r="L58" s="5">
        <v>119</v>
      </c>
      <c r="M58" s="5"/>
      <c r="N58" s="5"/>
      <c r="O58" s="5"/>
    </row>
    <row r="59" spans="1:15" ht="14" customHeight="1" x14ac:dyDescent="0.45">
      <c r="A59" s="7">
        <v>45574</v>
      </c>
      <c r="B59" s="5" t="s">
        <v>99</v>
      </c>
      <c r="C59" s="5" t="s">
        <v>90</v>
      </c>
      <c r="D59" s="5">
        <v>1</v>
      </c>
      <c r="E59" s="5">
        <v>4</v>
      </c>
      <c r="F59" s="5">
        <v>1</v>
      </c>
      <c r="G59" s="7">
        <v>45673</v>
      </c>
      <c r="H59" s="5" t="s">
        <v>91</v>
      </c>
      <c r="I59" s="5">
        <v>1</v>
      </c>
      <c r="J59" s="5" t="s">
        <v>60</v>
      </c>
      <c r="K59" s="6">
        <f>IF(J59=[8]Legend!$A$66,[8]Legend!$B$66,(IF(J59=[8]Legend!$A$67,[8]Legend!$B$67,IF(J59=[8]Legend!$A$68, [8]Legend!$B$68, IF(J59=[8]Legend!$A$69, [8]Legend!$B$69, IF(J59=[8]Legend!$A$70, [8]Legend!$B$70, IF(J59=[8]Legend!$A$71, [8]Legend!$B$71, IF(J59=[8]Legend!$A$72, [8]Legend!$B$72, (IF(J59=[8]Legend!$A$73, [8]Legend!$B$73, IF(J59=[8]Legend!$A$74, [8]Legend!$B$74, "")))))))))))</f>
        <v>25</v>
      </c>
      <c r="L59" s="5">
        <v>25</v>
      </c>
      <c r="M59" s="5">
        <v>0</v>
      </c>
      <c r="N59" s="5"/>
      <c r="O59" s="5"/>
    </row>
    <row r="60" spans="1:15" ht="14" customHeight="1" x14ac:dyDescent="0.45">
      <c r="A60" s="7">
        <v>45574</v>
      </c>
      <c r="B60" s="5" t="s">
        <v>99</v>
      </c>
      <c r="C60" s="5" t="s">
        <v>90</v>
      </c>
      <c r="D60" s="5">
        <v>1</v>
      </c>
      <c r="E60" s="5">
        <v>4</v>
      </c>
      <c r="F60" s="5">
        <v>1</v>
      </c>
      <c r="G60" s="7">
        <v>45673</v>
      </c>
      <c r="H60" s="5" t="s">
        <v>91</v>
      </c>
      <c r="I60" s="5">
        <v>1</v>
      </c>
      <c r="J60" s="5" t="s">
        <v>18</v>
      </c>
      <c r="K60" s="6">
        <f>IF(J60=[8]Legend!$A$66,[8]Legend!$B$66,(IF(J60=[8]Legend!$A$67,[8]Legend!$B$67,IF(J60=[8]Legend!$A$68, [8]Legend!$B$68, IF(J60=[8]Legend!$A$69, [8]Legend!$B$69, IF(J60=[8]Legend!$A$70, [8]Legend!$B$70, IF(J60=[8]Legend!$A$71, [8]Legend!$B$71, IF(J60=[8]Legend!$A$72, [8]Legend!$B$72, (IF(J60=[8]Legend!$A$73, [8]Legend!$B$73, IF(J60=[8]Legend!$A$74, [8]Legend!$B$74, "")))))))))))</f>
        <v>5</v>
      </c>
      <c r="L60" s="5">
        <v>5</v>
      </c>
      <c r="M60" s="5">
        <v>0</v>
      </c>
      <c r="N60" s="5"/>
      <c r="O60" s="5"/>
    </row>
    <row r="61" spans="1:15" ht="14" customHeight="1" x14ac:dyDescent="0.45">
      <c r="A61" s="7">
        <v>45574</v>
      </c>
      <c r="B61" s="5" t="s">
        <v>99</v>
      </c>
      <c r="C61" s="5" t="s">
        <v>90</v>
      </c>
      <c r="D61" s="5">
        <v>1</v>
      </c>
      <c r="E61" s="5">
        <v>4</v>
      </c>
      <c r="F61" s="5">
        <v>1</v>
      </c>
      <c r="G61" s="7">
        <v>45673</v>
      </c>
      <c r="H61" s="5" t="s">
        <v>91</v>
      </c>
      <c r="I61" s="5">
        <v>1</v>
      </c>
      <c r="J61" s="5" t="s">
        <v>69</v>
      </c>
      <c r="K61" s="6">
        <f>IF(J61=[8]Legend!$A$66,[8]Legend!$B$66,(IF(J61=[8]Legend!$A$67,[8]Legend!$B$67,IF(J61=[8]Legend!$A$68, [8]Legend!$B$68, IF(J61=[8]Legend!$A$69, [8]Legend!$B$69, IF(J61=[8]Legend!$A$70, [8]Legend!$B$70, IF(J61=[8]Legend!$A$71, [8]Legend!$B$71, IF(J61=[8]Legend!$A$72, [8]Legend!$B$72, (IF(J61=[8]Legend!$A$73, [8]Legend!$B$73, IF(J61=[8]Legend!$A$74, [8]Legend!$B$74, "")))))))))))</f>
        <v>120</v>
      </c>
      <c r="L61" s="5">
        <v>121</v>
      </c>
      <c r="M61" s="5">
        <v>2</v>
      </c>
      <c r="N61" s="5" t="s">
        <v>21</v>
      </c>
      <c r="O61" s="5"/>
    </row>
    <row r="62" spans="1:15" ht="14" customHeight="1" x14ac:dyDescent="0.45">
      <c r="A62" s="7">
        <v>45581</v>
      </c>
      <c r="B62" s="5" t="s">
        <v>99</v>
      </c>
      <c r="C62" s="5" t="s">
        <v>124</v>
      </c>
      <c r="D62" s="5">
        <v>2</v>
      </c>
      <c r="E62" s="5">
        <v>4</v>
      </c>
      <c r="F62" s="5">
        <v>2</v>
      </c>
      <c r="G62" s="7">
        <v>45361</v>
      </c>
      <c r="H62" s="5" t="s">
        <v>91</v>
      </c>
      <c r="I62" s="5">
        <v>1</v>
      </c>
      <c r="J62" s="5" t="s">
        <v>60</v>
      </c>
      <c r="K62" s="6">
        <f>IF(J62=[9]Legend!$A$67,[9]Legend!$B$67,(IF(J62=[9]Legend!$A$68,[9]Legend!$B$68,IF(J62=[9]Legend!$A$69, [9]Legend!$B$69, IF(J62=[9]Legend!$A$70, [9]Legend!$B$70, IF(J62=[9]Legend!$A$71, [9]Legend!$B$71, IF(J62=[9]Legend!$A$72, [9]Legend!$B$72, IF(J62=[9]Legend!$A$73, [9]Legend!$B$73, (IF(J62=[9]Legend!$A$74, [9]Legend!$B$74, IF(J62=[9]Legend!$A$75, [9]Legend!$B$75, "")))))))))))</f>
        <v>25</v>
      </c>
      <c r="L62" s="5">
        <v>25</v>
      </c>
      <c r="M62" s="5">
        <v>1</v>
      </c>
      <c r="N62" s="5" t="s">
        <v>30</v>
      </c>
      <c r="O62" s="5"/>
    </row>
    <row r="63" spans="1:15" ht="14" customHeight="1" x14ac:dyDescent="0.45">
      <c r="A63" s="7">
        <v>45581</v>
      </c>
      <c r="B63" s="5" t="s">
        <v>99</v>
      </c>
      <c r="C63" s="5" t="s">
        <v>124</v>
      </c>
      <c r="D63" s="5">
        <v>2</v>
      </c>
      <c r="E63" s="5">
        <v>4</v>
      </c>
      <c r="F63" s="5">
        <v>2</v>
      </c>
      <c r="G63" s="7">
        <v>45361</v>
      </c>
      <c r="H63" s="5" t="s">
        <v>91</v>
      </c>
      <c r="I63" s="5">
        <v>1</v>
      </c>
      <c r="J63" s="5" t="s">
        <v>18</v>
      </c>
      <c r="K63" s="6">
        <f>IF(J63=[9]Legend!$A$67,[9]Legend!$B$67,(IF(J63=[9]Legend!$A$68,[9]Legend!$B$68,IF(J63=[9]Legend!$A$69, [9]Legend!$B$69, IF(J63=[9]Legend!$A$70, [9]Legend!$B$70, IF(J63=[9]Legend!$A$71, [9]Legend!$B$71, IF(J63=[9]Legend!$A$72, [9]Legend!$B$72, IF(J63=[9]Legend!$A$73, [9]Legend!$B$73, (IF(J63=[9]Legend!$A$74, [9]Legend!$B$74, IF(J63=[9]Legend!$A$75, [9]Legend!$B$75, "")))))))))))</f>
        <v>5</v>
      </c>
      <c r="L63" s="5">
        <v>5</v>
      </c>
      <c r="M63" s="5">
        <v>0</v>
      </c>
      <c r="N63" s="5"/>
      <c r="O63" s="5"/>
    </row>
    <row r="64" spans="1:15" ht="14" customHeight="1" x14ac:dyDescent="0.45">
      <c r="A64" s="7">
        <v>45581</v>
      </c>
      <c r="B64" s="5" t="s">
        <v>99</v>
      </c>
      <c r="C64" s="5" t="s">
        <v>124</v>
      </c>
      <c r="D64" s="5">
        <v>2</v>
      </c>
      <c r="E64" s="5">
        <v>4</v>
      </c>
      <c r="F64" s="5">
        <v>2</v>
      </c>
      <c r="G64" s="7">
        <v>45361</v>
      </c>
      <c r="H64" s="5" t="s">
        <v>91</v>
      </c>
      <c r="I64" s="5">
        <v>1</v>
      </c>
      <c r="J64" s="5" t="s">
        <v>69</v>
      </c>
      <c r="K64" s="6">
        <f>IF(J64=[9]Legend!$A$67,[9]Legend!$B$67,(IF(J64=[9]Legend!$A$68,[9]Legend!$B$68,IF(J64=[9]Legend!$A$69, [9]Legend!$B$69, IF(J64=[9]Legend!$A$70, [9]Legend!$B$70, IF(J64=[9]Legend!$A$71, [9]Legend!$B$71, IF(J64=[9]Legend!$A$72, [9]Legend!$B$72, IF(J64=[9]Legend!$A$73, [9]Legend!$B$73, (IF(J64=[9]Legend!$A$74, [9]Legend!$B$74, IF(J64=[9]Legend!$A$75, [9]Legend!$B$75, "")))))))))))</f>
        <v>120</v>
      </c>
      <c r="L64" s="5">
        <v>118</v>
      </c>
      <c r="M64" s="5">
        <v>1</v>
      </c>
      <c r="N64" s="5" t="s">
        <v>30</v>
      </c>
      <c r="O64" s="5"/>
    </row>
    <row r="65" spans="1:15" ht="14" customHeight="1" x14ac:dyDescent="0.45">
      <c r="A65" s="7">
        <v>45581</v>
      </c>
      <c r="B65" s="5" t="s">
        <v>99</v>
      </c>
      <c r="C65" s="5" t="s">
        <v>124</v>
      </c>
      <c r="D65" s="5">
        <v>2</v>
      </c>
      <c r="E65" s="5">
        <v>4</v>
      </c>
      <c r="F65" s="5">
        <v>1</v>
      </c>
      <c r="G65" s="7">
        <v>45733</v>
      </c>
      <c r="H65" s="5" t="s">
        <v>91</v>
      </c>
      <c r="I65" s="5">
        <v>1</v>
      </c>
      <c r="J65" s="5" t="s">
        <v>60</v>
      </c>
      <c r="K65" s="6">
        <f>IF(J65=[9]Legend!$A$67,[9]Legend!$B$67,(IF(J65=[9]Legend!$A$68,[9]Legend!$B$68,IF(J65=[9]Legend!$A$69, [9]Legend!$B$69, IF(J65=[9]Legend!$A$70, [9]Legend!$B$70, IF(J65=[9]Legend!$A$71, [9]Legend!$B$71, IF(J65=[9]Legend!$A$72, [9]Legend!$B$72, IF(J65=[9]Legend!$A$73, [9]Legend!$B$73, (IF(J65=[9]Legend!$A$74, [9]Legend!$B$74, IF(J65=[9]Legend!$A$75, [9]Legend!$B$75, "")))))))))))</f>
        <v>25</v>
      </c>
      <c r="L65" s="5">
        <v>25</v>
      </c>
      <c r="M65" s="5">
        <v>0</v>
      </c>
      <c r="N65" s="5"/>
      <c r="O65" s="5"/>
    </row>
    <row r="66" spans="1:15" ht="14" customHeight="1" x14ac:dyDescent="0.45">
      <c r="A66" s="7">
        <v>45581</v>
      </c>
      <c r="B66" s="5" t="s">
        <v>99</v>
      </c>
      <c r="C66" s="5" t="s">
        <v>124</v>
      </c>
      <c r="D66" s="5">
        <v>2</v>
      </c>
      <c r="E66" s="5">
        <v>4</v>
      </c>
      <c r="F66" s="5">
        <v>1</v>
      </c>
      <c r="G66" s="7">
        <v>45733</v>
      </c>
      <c r="H66" s="5" t="s">
        <v>91</v>
      </c>
      <c r="I66" s="5">
        <v>1</v>
      </c>
      <c r="J66" s="5" t="s">
        <v>18</v>
      </c>
      <c r="K66" s="6">
        <f>IF(J66=[9]Legend!$A$67,[9]Legend!$B$67,(IF(J66=[9]Legend!$A$68,[9]Legend!$B$68,IF(J66=[9]Legend!$A$69, [9]Legend!$B$69, IF(J66=[9]Legend!$A$70, [9]Legend!$B$70, IF(J66=[9]Legend!$A$71, [9]Legend!$B$71, IF(J66=[9]Legend!$A$72, [9]Legend!$B$72, IF(J66=[9]Legend!$A$73, [9]Legend!$B$73, (IF(J66=[9]Legend!$A$74, [9]Legend!$B$74, IF(J66=[9]Legend!$A$75, [9]Legend!$B$75, "")))))))))))</f>
        <v>5</v>
      </c>
      <c r="L66" s="5">
        <v>5</v>
      </c>
      <c r="M66" s="5">
        <v>0</v>
      </c>
      <c r="N66" s="5"/>
      <c r="O66" s="5"/>
    </row>
    <row r="67" spans="1:15" ht="14" customHeight="1" x14ac:dyDescent="0.45">
      <c r="A67" s="7">
        <v>45581</v>
      </c>
      <c r="B67" s="5" t="s">
        <v>99</v>
      </c>
      <c r="C67" s="5" t="s">
        <v>124</v>
      </c>
      <c r="D67" s="5">
        <v>2</v>
      </c>
      <c r="E67" s="5">
        <v>4</v>
      </c>
      <c r="F67" s="5">
        <v>1</v>
      </c>
      <c r="G67" s="7">
        <v>45733</v>
      </c>
      <c r="H67" s="5" t="s">
        <v>91</v>
      </c>
      <c r="I67" s="5">
        <v>1</v>
      </c>
      <c r="J67" s="5" t="s">
        <v>69</v>
      </c>
      <c r="K67" s="6">
        <f>IF(J67=[9]Legend!$A$67,[9]Legend!$B$67,(IF(J67=[9]Legend!$A$68,[9]Legend!$B$68,IF(J67=[9]Legend!$A$69, [9]Legend!$B$69, IF(J67=[9]Legend!$A$70, [9]Legend!$B$70, IF(J67=[9]Legend!$A$71, [9]Legend!$B$71, IF(J67=[9]Legend!$A$72, [9]Legend!$B$72, IF(J67=[9]Legend!$A$73, [9]Legend!$B$73, (IF(J67=[9]Legend!$A$74, [9]Legend!$B$74, IF(J67=[9]Legend!$A$75, [9]Legend!$B$75, "")))))))))))</f>
        <v>120</v>
      </c>
      <c r="L67" s="5">
        <v>120</v>
      </c>
      <c r="M67" s="5">
        <v>0</v>
      </c>
      <c r="N67" s="5"/>
      <c r="O67" s="5"/>
    </row>
    <row r="68" spans="1:15" ht="14" customHeight="1" x14ac:dyDescent="0.45">
      <c r="A68" s="7">
        <v>45588</v>
      </c>
      <c r="B68" s="5" t="s">
        <v>99</v>
      </c>
      <c r="C68" s="5" t="s">
        <v>16</v>
      </c>
      <c r="D68" s="5">
        <v>3</v>
      </c>
      <c r="E68" s="5">
        <v>4</v>
      </c>
      <c r="F68" s="5">
        <v>2</v>
      </c>
      <c r="G68" s="7">
        <v>45684</v>
      </c>
      <c r="H68" s="5" t="s">
        <v>91</v>
      </c>
      <c r="I68" s="5">
        <v>1</v>
      </c>
      <c r="J68" s="5" t="s">
        <v>60</v>
      </c>
      <c r="K68" s="6">
        <f>IF(J68=[12]Legend!$A$66,[12]Legend!$B$66,(IF(J68=[12]Legend!$A$67,[12]Legend!$B$67,IF(J68=[12]Legend!$A$68, [12]Legend!$B$68, IF(J68=[12]Legend!$A$69, [12]Legend!$B$69, IF(J68=[12]Legend!$A$70, [12]Legend!$B$70, IF(J68=[12]Legend!$A$71, [12]Legend!$B$71, IF(J68=[12]Legend!$A$72, [12]Legend!$B$72, (IF(J68=[12]Legend!$A$73, [12]Legend!$B$73, IF(J68=[12]Legend!$A$74, [12]Legend!$B$74, "")))))))))))</f>
        <v>25</v>
      </c>
      <c r="L68" s="5">
        <v>26</v>
      </c>
      <c r="M68" s="5">
        <v>1</v>
      </c>
      <c r="N68" s="5" t="s">
        <v>21</v>
      </c>
      <c r="O68" s="5"/>
    </row>
    <row r="69" spans="1:15" ht="14" customHeight="1" x14ac:dyDescent="0.45">
      <c r="A69" s="7">
        <v>45588</v>
      </c>
      <c r="B69" s="5" t="s">
        <v>99</v>
      </c>
      <c r="C69" s="5" t="s">
        <v>16</v>
      </c>
      <c r="D69" s="5">
        <v>3</v>
      </c>
      <c r="E69" s="5">
        <v>4</v>
      </c>
      <c r="F69" s="5">
        <v>2</v>
      </c>
      <c r="G69" s="7">
        <v>45684</v>
      </c>
      <c r="H69" s="5" t="s">
        <v>91</v>
      </c>
      <c r="I69" s="5">
        <v>1</v>
      </c>
      <c r="J69" s="5" t="s">
        <v>18</v>
      </c>
      <c r="K69" s="6">
        <f>IF(J69=[12]Legend!$A$66,[12]Legend!$B$66,(IF(J69=[12]Legend!$A$67,[12]Legend!$B$67,IF(J69=[12]Legend!$A$68, [12]Legend!$B$68, IF(J69=[12]Legend!$A$69, [12]Legend!$B$69, IF(J69=[12]Legend!$A$70, [12]Legend!$B$70, IF(J69=[12]Legend!$A$71, [12]Legend!$B$71, IF(J69=[12]Legend!$A$72, [12]Legend!$B$72, (IF(J69=[12]Legend!$A$73, [12]Legend!$B$73, IF(J69=[12]Legend!$A$74, [12]Legend!$B$74, "")))))))))))</f>
        <v>5</v>
      </c>
      <c r="L69" s="5">
        <v>5</v>
      </c>
      <c r="M69" s="5">
        <v>1</v>
      </c>
      <c r="N69" s="5" t="s">
        <v>30</v>
      </c>
      <c r="O69" s="5"/>
    </row>
    <row r="70" spans="1:15" ht="14" customHeight="1" x14ac:dyDescent="0.45">
      <c r="A70" s="7">
        <v>45588</v>
      </c>
      <c r="B70" s="5" t="s">
        <v>99</v>
      </c>
      <c r="C70" s="5" t="s">
        <v>16</v>
      </c>
      <c r="D70" s="5">
        <v>3</v>
      </c>
      <c r="E70" s="5">
        <v>4</v>
      </c>
      <c r="F70" s="5">
        <v>2</v>
      </c>
      <c r="G70" s="7">
        <v>45684</v>
      </c>
      <c r="H70" s="5" t="s">
        <v>91</v>
      </c>
      <c r="I70" s="5">
        <v>1</v>
      </c>
      <c r="J70" s="5" t="s">
        <v>69</v>
      </c>
      <c r="K70" s="6">
        <f>IF(J70=[12]Legend!$A$66,[12]Legend!$B$66,(IF(J70=[12]Legend!$A$67,[12]Legend!$B$67,IF(J70=[12]Legend!$A$68, [12]Legend!$B$68, IF(J70=[12]Legend!$A$69, [12]Legend!$B$69, IF(J70=[12]Legend!$A$70, [12]Legend!$B$70, IF(J70=[12]Legend!$A$71, [12]Legend!$B$71, IF(J70=[12]Legend!$A$72, [12]Legend!$B$72, (IF(J70=[12]Legend!$A$73, [12]Legend!$B$73, IF(J70=[12]Legend!$A$74, [12]Legend!$B$74, "")))))))))))</f>
        <v>120</v>
      </c>
      <c r="L70" s="5">
        <v>119</v>
      </c>
      <c r="M70" s="5">
        <v>0</v>
      </c>
      <c r="N70" s="5"/>
      <c r="O70" s="5"/>
    </row>
    <row r="71" spans="1:15" ht="14" customHeight="1" x14ac:dyDescent="0.45">
      <c r="A71" s="7">
        <v>45588</v>
      </c>
      <c r="B71" s="5" t="s">
        <v>99</v>
      </c>
      <c r="C71" s="5" t="s">
        <v>16</v>
      </c>
      <c r="D71" s="5">
        <v>3</v>
      </c>
      <c r="E71" s="5">
        <v>4</v>
      </c>
      <c r="F71" s="5">
        <v>1</v>
      </c>
      <c r="G71" s="7">
        <v>45685</v>
      </c>
      <c r="H71" s="5" t="s">
        <v>91</v>
      </c>
      <c r="I71" s="5">
        <v>1</v>
      </c>
      <c r="J71" s="5" t="s">
        <v>60</v>
      </c>
      <c r="K71" s="6">
        <f>IF(J71=[12]Legend!$A$66,[12]Legend!$B$66,(IF(J71=[12]Legend!$A$67,[12]Legend!$B$67,IF(J71=[12]Legend!$A$68, [12]Legend!$B$68, IF(J71=[12]Legend!$A$69, [12]Legend!$B$69, IF(J71=[12]Legend!$A$70, [12]Legend!$B$70, IF(J71=[12]Legend!$A$71, [12]Legend!$B$71, IF(J71=[12]Legend!$A$72, [12]Legend!$B$72, (IF(J71=[12]Legend!$A$73, [12]Legend!$B$73, IF(J71=[12]Legend!$A$74, [12]Legend!$B$74, "")))))))))))</f>
        <v>25</v>
      </c>
      <c r="L71" s="5">
        <v>23</v>
      </c>
      <c r="M71" s="5">
        <v>1</v>
      </c>
      <c r="N71" s="5" t="s">
        <v>30</v>
      </c>
      <c r="O71" s="5"/>
    </row>
    <row r="72" spans="1:15" ht="14" customHeight="1" x14ac:dyDescent="0.45">
      <c r="A72" s="7">
        <v>45588</v>
      </c>
      <c r="B72" s="5" t="s">
        <v>99</v>
      </c>
      <c r="C72" s="5" t="s">
        <v>16</v>
      </c>
      <c r="D72" s="5">
        <v>3</v>
      </c>
      <c r="E72" s="5">
        <v>4</v>
      </c>
      <c r="F72" s="5">
        <v>1</v>
      </c>
      <c r="G72" s="7">
        <v>45685</v>
      </c>
      <c r="H72" s="5" t="s">
        <v>91</v>
      </c>
      <c r="I72" s="5">
        <v>1</v>
      </c>
      <c r="J72" s="5" t="s">
        <v>18</v>
      </c>
      <c r="K72" s="6">
        <f>IF(J72=[12]Legend!$A$66,[12]Legend!$B$66,(IF(J72=[12]Legend!$A$67,[12]Legend!$B$67,IF(J72=[12]Legend!$A$68, [12]Legend!$B$68, IF(J72=[12]Legend!$A$69, [12]Legend!$B$69, IF(J72=[12]Legend!$A$70, [12]Legend!$B$70, IF(J72=[12]Legend!$A$71, [12]Legend!$B$71, IF(J72=[12]Legend!$A$72, [12]Legend!$B$72, (IF(J72=[12]Legend!$A$73, [12]Legend!$B$73, IF(J72=[12]Legend!$A$74, [12]Legend!$B$74, "")))))))))))</f>
        <v>5</v>
      </c>
      <c r="L72" s="5">
        <v>5</v>
      </c>
      <c r="M72" s="5">
        <v>0</v>
      </c>
      <c r="N72" s="5"/>
      <c r="O72" s="5"/>
    </row>
    <row r="73" spans="1:15" ht="14" customHeight="1" x14ac:dyDescent="0.45">
      <c r="A73" s="7">
        <v>45588</v>
      </c>
      <c r="B73" s="5" t="s">
        <v>99</v>
      </c>
      <c r="C73" s="5" t="s">
        <v>16</v>
      </c>
      <c r="D73" s="5">
        <v>3</v>
      </c>
      <c r="E73" s="5">
        <v>4</v>
      </c>
      <c r="F73" s="5">
        <v>1</v>
      </c>
      <c r="G73" s="7">
        <v>45685</v>
      </c>
      <c r="H73" s="5" t="s">
        <v>91</v>
      </c>
      <c r="I73" s="5">
        <v>1</v>
      </c>
      <c r="J73" s="5" t="s">
        <v>69</v>
      </c>
      <c r="K73" s="6">
        <f>IF(J73=[12]Legend!$A$66,[12]Legend!$B$66,(IF(J73=[12]Legend!$A$67,[12]Legend!$B$67,IF(J73=[12]Legend!$A$68, [12]Legend!$B$68, IF(J73=[12]Legend!$A$69, [12]Legend!$B$69, IF(J73=[12]Legend!$A$70, [12]Legend!$B$70, IF(J73=[12]Legend!$A$71, [12]Legend!$B$71, IF(J73=[12]Legend!$A$72, [12]Legend!$B$72, (IF(J73=[12]Legend!$A$73, [12]Legend!$B$73, IF(J73=[12]Legend!$A$74, [12]Legend!$B$74, "")))))))))))</f>
        <v>120</v>
      </c>
      <c r="L73" s="5">
        <v>119</v>
      </c>
      <c r="M73" s="5">
        <v>1</v>
      </c>
      <c r="N73" s="5" t="s">
        <v>21</v>
      </c>
      <c r="O73" s="5"/>
    </row>
    <row r="74" spans="1:15" ht="14" customHeight="1" x14ac:dyDescent="0.45">
      <c r="A74" s="14">
        <v>45574</v>
      </c>
      <c r="B74" s="5" t="s">
        <v>99</v>
      </c>
      <c r="C74" s="5" t="s">
        <v>90</v>
      </c>
      <c r="D74" s="5">
        <v>1</v>
      </c>
      <c r="E74" s="5">
        <v>5</v>
      </c>
      <c r="F74" s="5">
        <v>1</v>
      </c>
      <c r="G74" s="7">
        <v>45621</v>
      </c>
      <c r="H74" s="5" t="s">
        <v>37</v>
      </c>
      <c r="I74" s="5">
        <v>1</v>
      </c>
      <c r="J74" s="5" t="s">
        <v>60</v>
      </c>
      <c r="K74" s="6">
        <f>IF(J74=[4]Legend!$A$67,[4]Legend!$B$67,(IF(J74=[4]Legend!$A$68,[4]Legend!$B$68,IF(J74=[4]Legend!$A$69, [4]Legend!$B$69, IF(J74=[4]Legend!$A$70, [4]Legend!$B$70, IF(J74=[4]Legend!$A$71, [4]Legend!$B$71, IF(J74=[4]Legend!$A$72, [4]Legend!$B$72, IF(J74=[4]Legend!$A$73, [4]Legend!$B$73, (IF(J74=[4]Legend!$A$74, [4]Legend!$B$74, IF(J74=[4]Legend!$A$75, [4]Legend!$B$75, "")))))))))))</f>
        <v>25</v>
      </c>
      <c r="L74" s="5">
        <v>25</v>
      </c>
      <c r="M74" s="5"/>
      <c r="N74" s="5"/>
      <c r="O74" s="5"/>
    </row>
    <row r="75" spans="1:15" ht="14" customHeight="1" x14ac:dyDescent="0.45">
      <c r="A75" s="14">
        <v>45574</v>
      </c>
      <c r="B75" s="5" t="s">
        <v>99</v>
      </c>
      <c r="C75" s="5" t="s">
        <v>90</v>
      </c>
      <c r="D75" s="5">
        <v>1</v>
      </c>
      <c r="E75" s="5">
        <v>5</v>
      </c>
      <c r="F75" s="5">
        <v>1</v>
      </c>
      <c r="G75" s="7">
        <v>45621</v>
      </c>
      <c r="H75" s="5" t="s">
        <v>37</v>
      </c>
      <c r="I75" s="5">
        <v>1</v>
      </c>
      <c r="J75" s="5" t="s">
        <v>18</v>
      </c>
      <c r="K75" s="6">
        <f>IF(J75=[4]Legend!$A$67,[4]Legend!$B$67,(IF(J75=[4]Legend!$A$68,[4]Legend!$B$68,IF(J75=[4]Legend!$A$69, [4]Legend!$B$69, IF(J75=[4]Legend!$A$70, [4]Legend!$B$70, IF(J75=[4]Legend!$A$71, [4]Legend!$B$71, IF(J75=[4]Legend!$A$72, [4]Legend!$B$72, IF(J75=[4]Legend!$A$73, [4]Legend!$B$73, (IF(J75=[4]Legend!$A$74, [4]Legend!$B$74, IF(J75=[4]Legend!$A$75, [4]Legend!$B$75, "")))))))))))</f>
        <v>5</v>
      </c>
      <c r="L75" s="5">
        <v>5</v>
      </c>
      <c r="M75" s="5"/>
      <c r="N75" s="5"/>
      <c r="O75" s="5"/>
    </row>
    <row r="76" spans="1:15" ht="14" customHeight="1" x14ac:dyDescent="0.45">
      <c r="A76" s="14">
        <v>45574</v>
      </c>
      <c r="B76" s="5" t="s">
        <v>99</v>
      </c>
      <c r="C76" s="5" t="s">
        <v>90</v>
      </c>
      <c r="D76" s="5">
        <v>1</v>
      </c>
      <c r="E76" s="5">
        <v>5</v>
      </c>
      <c r="F76" s="5">
        <v>1</v>
      </c>
      <c r="G76" s="7">
        <v>45621</v>
      </c>
      <c r="H76" s="5" t="s">
        <v>37</v>
      </c>
      <c r="I76" s="5">
        <v>1</v>
      </c>
      <c r="J76" s="5" t="s">
        <v>69</v>
      </c>
      <c r="K76" s="6">
        <f>IF(J76=[4]Legend!$A$67,[4]Legend!$B$67,(IF(J76=[4]Legend!$A$68,[4]Legend!$B$68,IF(J76=[4]Legend!$A$69, [4]Legend!$B$69, IF(J76=[4]Legend!$A$70, [4]Legend!$B$70, IF(J76=[4]Legend!$A$71, [4]Legend!$B$71, IF(J76=[4]Legend!$A$72, [4]Legend!$B$72, IF(J76=[4]Legend!$A$73, [4]Legend!$B$73, (IF(J76=[4]Legend!$A$74, [4]Legend!$B$74, IF(J76=[4]Legend!$A$75, [4]Legend!$B$75, "")))))))))))</f>
        <v>120</v>
      </c>
      <c r="L76" s="5">
        <v>119</v>
      </c>
      <c r="M76" s="5"/>
      <c r="N76" s="5"/>
      <c r="O76" s="5"/>
    </row>
    <row r="77" spans="1:15" ht="14" customHeight="1" x14ac:dyDescent="0.45">
      <c r="A77" s="7">
        <v>45574</v>
      </c>
      <c r="B77" s="5" t="s">
        <v>99</v>
      </c>
      <c r="C77" s="5" t="s">
        <v>90</v>
      </c>
      <c r="D77" s="5">
        <v>1</v>
      </c>
      <c r="E77" s="5">
        <v>5</v>
      </c>
      <c r="F77" s="5">
        <v>2</v>
      </c>
      <c r="G77" s="7">
        <v>45673</v>
      </c>
      <c r="H77" s="5" t="s">
        <v>91</v>
      </c>
      <c r="I77" s="5">
        <v>1</v>
      </c>
      <c r="J77" s="5" t="s">
        <v>60</v>
      </c>
      <c r="K77" s="6">
        <f>IF(J77=[8]Legend!$A$66,[8]Legend!$B$66,(IF(J77=[8]Legend!$A$67,[8]Legend!$B$67,IF(J77=[8]Legend!$A$68, [8]Legend!$B$68, IF(J77=[8]Legend!$A$69, [8]Legend!$B$69, IF(J77=[8]Legend!$A$70, [8]Legend!$B$70, IF(J77=[8]Legend!$A$71, [8]Legend!$B$71, IF(J77=[8]Legend!$A$72, [8]Legend!$B$72, (IF(J77=[8]Legend!$A$73, [8]Legend!$B$73, IF(J77=[8]Legend!$A$74, [8]Legend!$B$74, "")))))))))))</f>
        <v>25</v>
      </c>
      <c r="L77" s="5">
        <v>25</v>
      </c>
      <c r="M77" s="5">
        <v>0</v>
      </c>
      <c r="N77" s="5"/>
      <c r="O77" s="5"/>
    </row>
    <row r="78" spans="1:15" ht="14" customHeight="1" x14ac:dyDescent="0.45">
      <c r="A78" s="7">
        <v>45574</v>
      </c>
      <c r="B78" s="5" t="s">
        <v>99</v>
      </c>
      <c r="C78" s="5" t="s">
        <v>90</v>
      </c>
      <c r="D78" s="5">
        <v>1</v>
      </c>
      <c r="E78" s="5">
        <v>5</v>
      </c>
      <c r="F78" s="5">
        <v>2</v>
      </c>
      <c r="G78" s="7">
        <v>45673</v>
      </c>
      <c r="H78" s="5" t="s">
        <v>91</v>
      </c>
      <c r="I78" s="5">
        <v>1</v>
      </c>
      <c r="J78" s="5" t="s">
        <v>18</v>
      </c>
      <c r="K78" s="6">
        <f>IF(J78=[8]Legend!$A$66,[8]Legend!$B$66,(IF(J78=[8]Legend!$A$67,[8]Legend!$B$67,IF(J78=[8]Legend!$A$68, [8]Legend!$B$68, IF(J78=[8]Legend!$A$69, [8]Legend!$B$69, IF(J78=[8]Legend!$A$70, [8]Legend!$B$70, IF(J78=[8]Legend!$A$71, [8]Legend!$B$71, IF(J78=[8]Legend!$A$72, [8]Legend!$B$72, (IF(J78=[8]Legend!$A$73, [8]Legend!$B$73, IF(J78=[8]Legend!$A$74, [8]Legend!$B$74, "")))))))))))</f>
        <v>5</v>
      </c>
      <c r="L78" s="5">
        <v>5</v>
      </c>
      <c r="M78" s="5">
        <v>0</v>
      </c>
      <c r="N78" s="5"/>
      <c r="O78" s="5"/>
    </row>
    <row r="79" spans="1:15" ht="14" customHeight="1" x14ac:dyDescent="0.45">
      <c r="A79" s="7">
        <v>45574</v>
      </c>
      <c r="B79" s="5" t="s">
        <v>99</v>
      </c>
      <c r="C79" s="5" t="s">
        <v>90</v>
      </c>
      <c r="D79" s="5">
        <v>1</v>
      </c>
      <c r="E79" s="5">
        <v>5</v>
      </c>
      <c r="F79" s="5">
        <v>2</v>
      </c>
      <c r="G79" s="7">
        <v>45673</v>
      </c>
      <c r="H79" s="5" t="s">
        <v>91</v>
      </c>
      <c r="I79" s="5">
        <v>1</v>
      </c>
      <c r="J79" s="5" t="s">
        <v>69</v>
      </c>
      <c r="K79" s="6">
        <f>IF(J79=[8]Legend!$A$66,[8]Legend!$B$66,(IF(J79=[8]Legend!$A$67,[8]Legend!$B$67,IF(J79=[8]Legend!$A$68, [8]Legend!$B$68, IF(J79=[8]Legend!$A$69, [8]Legend!$B$69, IF(J79=[8]Legend!$A$70, [8]Legend!$B$70, IF(J79=[8]Legend!$A$71, [8]Legend!$B$71, IF(J79=[8]Legend!$A$72, [8]Legend!$B$72, (IF(J79=[8]Legend!$A$73, [8]Legend!$B$73, IF(J79=[8]Legend!$A$74, [8]Legend!$B$74, "")))))))))))</f>
        <v>120</v>
      </c>
      <c r="L79" s="5">
        <v>120</v>
      </c>
      <c r="M79" s="5">
        <v>0</v>
      </c>
      <c r="N79" s="5"/>
      <c r="O79" s="5"/>
    </row>
    <row r="80" spans="1:15" ht="14" customHeight="1" x14ac:dyDescent="0.45">
      <c r="A80" s="7">
        <v>45581</v>
      </c>
      <c r="B80" s="5" t="s">
        <v>99</v>
      </c>
      <c r="C80" s="5" t="s">
        <v>124</v>
      </c>
      <c r="D80" s="5">
        <v>2</v>
      </c>
      <c r="E80" s="5">
        <v>5</v>
      </c>
      <c r="F80" s="5">
        <v>2</v>
      </c>
      <c r="G80" s="7">
        <v>45362</v>
      </c>
      <c r="H80" s="5" t="s">
        <v>91</v>
      </c>
      <c r="I80" s="5">
        <v>1</v>
      </c>
      <c r="J80" s="5" t="s">
        <v>60</v>
      </c>
      <c r="K80" s="6">
        <f>IF(J80=[9]Legend!$A$67,[9]Legend!$B$67,(IF(J80=[9]Legend!$A$68,[9]Legend!$B$68,IF(J80=[9]Legend!$A$69, [9]Legend!$B$69, IF(J80=[9]Legend!$A$70, [9]Legend!$B$70, IF(J80=[9]Legend!$A$71, [9]Legend!$B$71, IF(J80=[9]Legend!$A$72, [9]Legend!$B$72, IF(J80=[9]Legend!$A$73, [9]Legend!$B$73, (IF(J80=[9]Legend!$A$74, [9]Legend!$B$74, IF(J80=[9]Legend!$A$75, [9]Legend!$B$75, "")))))))))))</f>
        <v>25</v>
      </c>
      <c r="L80" s="5">
        <v>25</v>
      </c>
      <c r="M80" s="5">
        <v>0</v>
      </c>
      <c r="N80" s="5"/>
      <c r="O80" s="5"/>
    </row>
    <row r="81" spans="1:15" ht="14" customHeight="1" x14ac:dyDescent="0.45">
      <c r="A81" s="7">
        <v>45581</v>
      </c>
      <c r="B81" s="5" t="s">
        <v>99</v>
      </c>
      <c r="C81" s="5" t="s">
        <v>124</v>
      </c>
      <c r="D81" s="5">
        <v>2</v>
      </c>
      <c r="E81" s="5">
        <v>5</v>
      </c>
      <c r="F81" s="5">
        <v>2</v>
      </c>
      <c r="G81" s="7">
        <v>45362</v>
      </c>
      <c r="H81" s="5" t="s">
        <v>91</v>
      </c>
      <c r="I81" s="5">
        <v>1</v>
      </c>
      <c r="J81" s="5" t="s">
        <v>18</v>
      </c>
      <c r="K81" s="6">
        <f>IF(J81=[9]Legend!$A$67,[9]Legend!$B$67,(IF(J81=[9]Legend!$A$68,[9]Legend!$B$68,IF(J81=[9]Legend!$A$69, [9]Legend!$B$69, IF(J81=[9]Legend!$A$70, [9]Legend!$B$70, IF(J81=[9]Legend!$A$71, [9]Legend!$B$71, IF(J81=[9]Legend!$A$72, [9]Legend!$B$72, IF(J81=[9]Legend!$A$73, [9]Legend!$B$73, (IF(J81=[9]Legend!$A$74, [9]Legend!$B$74, IF(J81=[9]Legend!$A$75, [9]Legend!$B$75, "")))))))))))</f>
        <v>5</v>
      </c>
      <c r="L81" s="5">
        <v>5</v>
      </c>
      <c r="M81" s="5">
        <v>0</v>
      </c>
      <c r="N81" s="5"/>
      <c r="O81" s="5"/>
    </row>
    <row r="82" spans="1:15" ht="14" customHeight="1" x14ac:dyDescent="0.45">
      <c r="A82" s="7">
        <v>45581</v>
      </c>
      <c r="B82" s="5" t="s">
        <v>99</v>
      </c>
      <c r="C82" s="5" t="s">
        <v>124</v>
      </c>
      <c r="D82" s="5">
        <v>2</v>
      </c>
      <c r="E82" s="5">
        <v>5</v>
      </c>
      <c r="F82" s="5">
        <v>2</v>
      </c>
      <c r="G82" s="7">
        <v>45362</v>
      </c>
      <c r="H82" s="5" t="s">
        <v>91</v>
      </c>
      <c r="I82" s="5">
        <v>1</v>
      </c>
      <c r="J82" s="5" t="s">
        <v>69</v>
      </c>
      <c r="K82" s="6">
        <f>IF(J82=[9]Legend!$A$67,[9]Legend!$B$67,(IF(J82=[9]Legend!$A$68,[9]Legend!$B$68,IF(J82=[9]Legend!$A$69, [9]Legend!$B$69, IF(J82=[9]Legend!$A$70, [9]Legend!$B$70, IF(J82=[9]Legend!$A$71, [9]Legend!$B$71, IF(J82=[9]Legend!$A$72, [9]Legend!$B$72, IF(J82=[9]Legend!$A$73, [9]Legend!$B$73, (IF(J82=[9]Legend!$A$74, [9]Legend!$B$74, IF(J82=[9]Legend!$A$75, [9]Legend!$B$75, "")))))))))))</f>
        <v>120</v>
      </c>
      <c r="L82" s="5">
        <v>120</v>
      </c>
      <c r="M82" s="5">
        <v>0</v>
      </c>
      <c r="N82" s="5"/>
      <c r="O82" s="5"/>
    </row>
    <row r="83" spans="1:15" ht="14" customHeight="1" x14ac:dyDescent="0.45">
      <c r="A83" s="7">
        <v>45581</v>
      </c>
      <c r="B83" s="5" t="s">
        <v>99</v>
      </c>
      <c r="C83" s="5" t="s">
        <v>124</v>
      </c>
      <c r="D83" s="5">
        <v>2</v>
      </c>
      <c r="E83" s="5">
        <v>5</v>
      </c>
      <c r="F83" s="5">
        <v>1</v>
      </c>
      <c r="G83" s="7">
        <v>45733</v>
      </c>
      <c r="H83" s="5" t="s">
        <v>91</v>
      </c>
      <c r="I83" s="5">
        <v>1</v>
      </c>
      <c r="J83" s="5" t="s">
        <v>60</v>
      </c>
      <c r="K83" s="6">
        <f>IF(J83=[9]Legend!$A$67,[9]Legend!$B$67,(IF(J83=[9]Legend!$A$68,[9]Legend!$B$68,IF(J83=[9]Legend!$A$69, [9]Legend!$B$69, IF(J83=[9]Legend!$A$70, [9]Legend!$B$70, IF(J83=[9]Legend!$A$71, [9]Legend!$B$71, IF(J83=[9]Legend!$A$72, [9]Legend!$B$72, IF(J83=[9]Legend!$A$73, [9]Legend!$B$73, (IF(J83=[9]Legend!$A$74, [9]Legend!$B$74, IF(J83=[9]Legend!$A$75, [9]Legend!$B$75, "")))))))))))</f>
        <v>25</v>
      </c>
      <c r="L83" s="5">
        <v>25</v>
      </c>
      <c r="M83" s="5">
        <v>0</v>
      </c>
      <c r="N83" s="5"/>
      <c r="O83" s="5"/>
    </row>
    <row r="84" spans="1:15" ht="14" customHeight="1" x14ac:dyDescent="0.45">
      <c r="A84" s="7">
        <v>45581</v>
      </c>
      <c r="B84" s="5" t="s">
        <v>99</v>
      </c>
      <c r="C84" s="5" t="s">
        <v>124</v>
      </c>
      <c r="D84" s="5">
        <v>2</v>
      </c>
      <c r="E84" s="5">
        <v>5</v>
      </c>
      <c r="F84" s="5">
        <v>1</v>
      </c>
      <c r="G84" s="7">
        <v>45733</v>
      </c>
      <c r="H84" s="5" t="s">
        <v>91</v>
      </c>
      <c r="I84" s="5">
        <v>1</v>
      </c>
      <c r="J84" s="5" t="s">
        <v>18</v>
      </c>
      <c r="K84" s="6">
        <f>IF(J84=[9]Legend!$A$67,[9]Legend!$B$67,(IF(J84=[9]Legend!$A$68,[9]Legend!$B$68,IF(J84=[9]Legend!$A$69, [9]Legend!$B$69, IF(J84=[9]Legend!$A$70, [9]Legend!$B$70, IF(J84=[9]Legend!$A$71, [9]Legend!$B$71, IF(J84=[9]Legend!$A$72, [9]Legend!$B$72, IF(J84=[9]Legend!$A$73, [9]Legend!$B$73, (IF(J84=[9]Legend!$A$74, [9]Legend!$B$74, IF(J84=[9]Legend!$A$75, [9]Legend!$B$75, "")))))))))))</f>
        <v>5</v>
      </c>
      <c r="L84" s="5">
        <v>5</v>
      </c>
      <c r="M84" s="5">
        <v>0</v>
      </c>
      <c r="N84" s="5"/>
      <c r="O84" s="5"/>
    </row>
    <row r="85" spans="1:15" ht="14" customHeight="1" x14ac:dyDescent="0.45">
      <c r="A85" s="7">
        <v>45581</v>
      </c>
      <c r="B85" s="5" t="s">
        <v>99</v>
      </c>
      <c r="C85" s="5" t="s">
        <v>124</v>
      </c>
      <c r="D85" s="5">
        <v>2</v>
      </c>
      <c r="E85" s="5">
        <v>5</v>
      </c>
      <c r="F85" s="5">
        <v>1</v>
      </c>
      <c r="G85" s="7">
        <v>45733</v>
      </c>
      <c r="H85" s="5" t="s">
        <v>91</v>
      </c>
      <c r="I85" s="5">
        <v>1</v>
      </c>
      <c r="J85" s="5" t="s">
        <v>69</v>
      </c>
      <c r="K85" s="6">
        <f>IF(J85=[9]Legend!$A$67,[9]Legend!$B$67,(IF(J85=[9]Legend!$A$68,[9]Legend!$B$68,IF(J85=[9]Legend!$A$69, [9]Legend!$B$69, IF(J85=[9]Legend!$A$70, [9]Legend!$B$70, IF(J85=[9]Legend!$A$71, [9]Legend!$B$71, IF(J85=[9]Legend!$A$72, [9]Legend!$B$72, IF(J85=[9]Legend!$A$73, [9]Legend!$B$73, (IF(J85=[9]Legend!$A$74, [9]Legend!$B$74, IF(J85=[9]Legend!$A$75, [9]Legend!$B$75, "")))))))))))</f>
        <v>120</v>
      </c>
      <c r="L85" s="5">
        <v>116</v>
      </c>
      <c r="M85" s="5">
        <v>0</v>
      </c>
      <c r="N85" s="5"/>
      <c r="O85" s="5"/>
    </row>
    <row r="86" spans="1:15" ht="14" customHeight="1" x14ac:dyDescent="0.45">
      <c r="A86" s="7">
        <v>45588</v>
      </c>
      <c r="B86" s="5" t="s">
        <v>99</v>
      </c>
      <c r="C86" s="5" t="s">
        <v>16</v>
      </c>
      <c r="D86" s="5">
        <v>3</v>
      </c>
      <c r="E86" s="5">
        <v>5</v>
      </c>
      <c r="F86" s="5">
        <v>1</v>
      </c>
      <c r="G86" s="7">
        <v>45684</v>
      </c>
      <c r="H86" s="5" t="s">
        <v>91</v>
      </c>
      <c r="I86" s="5">
        <v>1</v>
      </c>
      <c r="J86" s="5" t="s">
        <v>60</v>
      </c>
      <c r="K86" s="6">
        <f>IF(J86=[12]Legend!$A$66,[12]Legend!$B$66,(IF(J86=[12]Legend!$A$67,[12]Legend!$B$67,IF(J86=[12]Legend!$A$68, [12]Legend!$B$68, IF(J86=[12]Legend!$A$69, [12]Legend!$B$69, IF(J86=[12]Legend!$A$70, [12]Legend!$B$70, IF(J86=[12]Legend!$A$71, [12]Legend!$B$71, IF(J86=[12]Legend!$A$72, [12]Legend!$B$72, (IF(J86=[12]Legend!$A$73, [12]Legend!$B$73, IF(J86=[12]Legend!$A$74, [12]Legend!$B$74, "")))))))))))</f>
        <v>25</v>
      </c>
      <c r="L86" s="5">
        <v>25</v>
      </c>
      <c r="M86" s="5">
        <v>0</v>
      </c>
      <c r="N86" s="5"/>
      <c r="O86" s="5" t="s">
        <v>150</v>
      </c>
    </row>
    <row r="87" spans="1:15" ht="14" customHeight="1" x14ac:dyDescent="0.45">
      <c r="A87" s="7">
        <v>45588</v>
      </c>
      <c r="B87" s="5" t="s">
        <v>99</v>
      </c>
      <c r="C87" s="5" t="s">
        <v>16</v>
      </c>
      <c r="D87" s="5">
        <v>3</v>
      </c>
      <c r="E87" s="5">
        <v>5</v>
      </c>
      <c r="F87" s="5">
        <v>1</v>
      </c>
      <c r="G87" s="7">
        <v>45684</v>
      </c>
      <c r="H87" s="5" t="s">
        <v>91</v>
      </c>
      <c r="I87" s="5">
        <v>1</v>
      </c>
      <c r="J87" s="5" t="s">
        <v>18</v>
      </c>
      <c r="K87" s="6">
        <f>IF(J87=[12]Legend!$A$66,[12]Legend!$B$66,(IF(J87=[12]Legend!$A$67,[12]Legend!$B$67,IF(J87=[12]Legend!$A$68, [12]Legend!$B$68, IF(J87=[12]Legend!$A$69, [12]Legend!$B$69, IF(J87=[12]Legend!$A$70, [12]Legend!$B$70, IF(J87=[12]Legend!$A$71, [12]Legend!$B$71, IF(J87=[12]Legend!$A$72, [12]Legend!$B$72, (IF(J87=[12]Legend!$A$73, [12]Legend!$B$73, IF(J87=[12]Legend!$A$74, [12]Legend!$B$74, "")))))))))))</f>
        <v>5</v>
      </c>
      <c r="L87" s="5">
        <v>5</v>
      </c>
      <c r="M87" s="5">
        <v>0</v>
      </c>
      <c r="N87" s="5"/>
      <c r="O87" s="5" t="s">
        <v>150</v>
      </c>
    </row>
    <row r="88" spans="1:15" ht="14" customHeight="1" x14ac:dyDescent="0.45">
      <c r="A88" s="7">
        <v>45588</v>
      </c>
      <c r="B88" s="5" t="s">
        <v>99</v>
      </c>
      <c r="C88" s="5" t="s">
        <v>16</v>
      </c>
      <c r="D88" s="5">
        <v>3</v>
      </c>
      <c r="E88" s="5">
        <v>5</v>
      </c>
      <c r="F88" s="5">
        <v>1</v>
      </c>
      <c r="G88" s="7">
        <v>45684</v>
      </c>
      <c r="H88" s="5" t="s">
        <v>91</v>
      </c>
      <c r="I88" s="5">
        <v>1</v>
      </c>
      <c r="J88" s="5" t="s">
        <v>69</v>
      </c>
      <c r="K88" s="6">
        <f>IF(J88=[12]Legend!$A$66,[12]Legend!$B$66,(IF(J88=[12]Legend!$A$67,[12]Legend!$B$67,IF(J88=[12]Legend!$A$68, [12]Legend!$B$68, IF(J88=[12]Legend!$A$69, [12]Legend!$B$69, IF(J88=[12]Legend!$A$70, [12]Legend!$B$70, IF(J88=[12]Legend!$A$71, [12]Legend!$B$71, IF(J88=[12]Legend!$A$72, [12]Legend!$B$72, (IF(J88=[12]Legend!$A$73, [12]Legend!$B$73, IF(J88=[12]Legend!$A$74, [12]Legend!$B$74, "")))))))))))</f>
        <v>120</v>
      </c>
      <c r="L88" s="5">
        <v>121</v>
      </c>
      <c r="M88" s="5">
        <v>1</v>
      </c>
      <c r="N88" s="5" t="s">
        <v>30</v>
      </c>
      <c r="O88" s="5" t="s">
        <v>150</v>
      </c>
    </row>
    <row r="89" spans="1:15" ht="14" customHeight="1" x14ac:dyDescent="0.45">
      <c r="A89" s="7">
        <v>45588</v>
      </c>
      <c r="B89" s="5" t="s">
        <v>99</v>
      </c>
      <c r="C89" s="5" t="s">
        <v>16</v>
      </c>
      <c r="D89" s="5">
        <v>3</v>
      </c>
      <c r="E89" s="5">
        <v>5</v>
      </c>
      <c r="F89" s="5">
        <v>2</v>
      </c>
      <c r="G89" s="7">
        <v>45685</v>
      </c>
      <c r="H89" s="5" t="s">
        <v>91</v>
      </c>
      <c r="I89" s="5">
        <v>1</v>
      </c>
      <c r="J89" s="5" t="s">
        <v>60</v>
      </c>
      <c r="K89" s="6">
        <f>IF(J89=[12]Legend!$A$66,[12]Legend!$B$66,(IF(J89=[12]Legend!$A$67,[12]Legend!$B$67,IF(J89=[12]Legend!$A$68, [12]Legend!$B$68, IF(J89=[12]Legend!$A$69, [12]Legend!$B$69, IF(J89=[12]Legend!$A$70, [12]Legend!$B$70, IF(J89=[12]Legend!$A$71, [12]Legend!$B$71, IF(J89=[12]Legend!$A$72, [12]Legend!$B$72, (IF(J89=[12]Legend!$A$73, [12]Legend!$B$73, IF(J89=[12]Legend!$A$74, [12]Legend!$B$74, "")))))))))))</f>
        <v>25</v>
      </c>
      <c r="L89" s="5">
        <v>25</v>
      </c>
      <c r="M89" s="5">
        <v>2</v>
      </c>
      <c r="N89" s="5" t="s">
        <v>30</v>
      </c>
      <c r="O89" s="5"/>
    </row>
    <row r="90" spans="1:15" ht="14" customHeight="1" x14ac:dyDescent="0.45">
      <c r="A90" s="7">
        <v>45588</v>
      </c>
      <c r="B90" s="5" t="s">
        <v>99</v>
      </c>
      <c r="C90" s="5" t="s">
        <v>16</v>
      </c>
      <c r="D90" s="5">
        <v>3</v>
      </c>
      <c r="E90" s="5">
        <v>5</v>
      </c>
      <c r="F90" s="5">
        <v>2</v>
      </c>
      <c r="G90" s="7">
        <v>45685</v>
      </c>
      <c r="H90" s="5" t="s">
        <v>91</v>
      </c>
      <c r="I90" s="5">
        <v>1</v>
      </c>
      <c r="J90" s="5" t="s">
        <v>18</v>
      </c>
      <c r="K90" s="6">
        <f>IF(J90=[12]Legend!$A$66,[12]Legend!$B$66,(IF(J90=[12]Legend!$A$67,[12]Legend!$B$67,IF(J90=[12]Legend!$A$68, [12]Legend!$B$68, IF(J90=[12]Legend!$A$69, [12]Legend!$B$69, IF(J90=[12]Legend!$A$70, [12]Legend!$B$70, IF(J90=[12]Legend!$A$71, [12]Legend!$B$71, IF(J90=[12]Legend!$A$72, [12]Legend!$B$72, (IF(J90=[12]Legend!$A$73, [12]Legend!$B$73, IF(J90=[12]Legend!$A$74, [12]Legend!$B$74, "")))))))))))</f>
        <v>5</v>
      </c>
      <c r="L90" s="5">
        <v>5</v>
      </c>
      <c r="M90" s="5">
        <v>1</v>
      </c>
      <c r="N90" s="5" t="s">
        <v>21</v>
      </c>
      <c r="O90" s="5"/>
    </row>
    <row r="91" spans="1:15" ht="14" customHeight="1" x14ac:dyDescent="0.45">
      <c r="A91" s="7">
        <v>45588</v>
      </c>
      <c r="B91" s="5" t="s">
        <v>99</v>
      </c>
      <c r="C91" s="5" t="s">
        <v>16</v>
      </c>
      <c r="D91" s="5">
        <v>3</v>
      </c>
      <c r="E91" s="5">
        <v>5</v>
      </c>
      <c r="F91" s="5">
        <v>2</v>
      </c>
      <c r="G91" s="7">
        <v>45685</v>
      </c>
      <c r="H91" s="5" t="s">
        <v>91</v>
      </c>
      <c r="I91" s="5">
        <v>1</v>
      </c>
      <c r="J91" s="5" t="s">
        <v>69</v>
      </c>
      <c r="K91" s="6">
        <f>IF(J91=[12]Legend!$A$66,[12]Legend!$B$66,(IF(J91=[12]Legend!$A$67,[12]Legend!$B$67,IF(J91=[12]Legend!$A$68, [12]Legend!$B$68, IF(J91=[12]Legend!$A$69, [12]Legend!$B$69, IF(J91=[12]Legend!$A$70, [12]Legend!$B$70, IF(J91=[12]Legend!$A$71, [12]Legend!$B$71, IF(J91=[12]Legend!$A$72, [12]Legend!$B$72, (IF(J91=[12]Legend!$A$73, [12]Legend!$B$73, IF(J91=[12]Legend!$A$74, [12]Legend!$B$74, "")))))))))))</f>
        <v>120</v>
      </c>
      <c r="L91" s="5">
        <v>120</v>
      </c>
      <c r="M91" s="5">
        <v>0</v>
      </c>
      <c r="N91" s="5"/>
      <c r="O91" s="5"/>
    </row>
    <row r="92" spans="1:15" ht="14" customHeight="1" x14ac:dyDescent="0.45">
      <c r="A92" s="14">
        <v>45574</v>
      </c>
      <c r="B92" s="5" t="s">
        <v>99</v>
      </c>
      <c r="C92" s="5" t="s">
        <v>90</v>
      </c>
      <c r="D92" s="5">
        <v>1</v>
      </c>
      <c r="E92" s="5">
        <v>6</v>
      </c>
      <c r="F92" s="31">
        <v>1</v>
      </c>
      <c r="G92" s="7">
        <v>45621</v>
      </c>
      <c r="H92" s="5" t="s">
        <v>37</v>
      </c>
      <c r="I92" s="5">
        <v>1</v>
      </c>
      <c r="J92" s="5" t="s">
        <v>60</v>
      </c>
      <c r="K92" s="6">
        <f>IF(J92=[4]Legend!$A$67,[4]Legend!$B$67,(IF(J92=[4]Legend!$A$68,[4]Legend!$B$68,IF(J92=[4]Legend!$A$69, [4]Legend!$B$69, IF(J92=[4]Legend!$A$70, [4]Legend!$B$70, IF(J92=[4]Legend!$A$71, [4]Legend!$B$71, IF(J92=[4]Legend!$A$72, [4]Legend!$B$72, IF(J92=[4]Legend!$A$73, [4]Legend!$B$73, (IF(J92=[4]Legend!$A$74, [4]Legend!$B$74, IF(J92=[4]Legend!$A$75, [4]Legend!$B$75, "")))))))))))</f>
        <v>25</v>
      </c>
      <c r="L92" s="5">
        <v>5</v>
      </c>
      <c r="M92" s="5"/>
      <c r="N92" s="5"/>
      <c r="O92" s="5"/>
    </row>
    <row r="93" spans="1:15" ht="14" customHeight="1" x14ac:dyDescent="0.45">
      <c r="A93" s="14">
        <v>45574</v>
      </c>
      <c r="B93" s="5" t="s">
        <v>99</v>
      </c>
      <c r="C93" s="5" t="s">
        <v>90</v>
      </c>
      <c r="D93" s="5">
        <v>1</v>
      </c>
      <c r="E93" s="5">
        <v>6</v>
      </c>
      <c r="F93" s="31">
        <v>1</v>
      </c>
      <c r="G93" s="7">
        <v>45621</v>
      </c>
      <c r="H93" s="5" t="s">
        <v>37</v>
      </c>
      <c r="I93" s="5">
        <v>1</v>
      </c>
      <c r="J93" s="5" t="s">
        <v>18</v>
      </c>
      <c r="K93" s="6">
        <f>IF(J93=[4]Legend!$A$67,[4]Legend!$B$67,(IF(J93=[4]Legend!$A$68,[4]Legend!$B$68,IF(J93=[4]Legend!$A$69, [4]Legend!$B$69, IF(J93=[4]Legend!$A$70, [4]Legend!$B$70, IF(J93=[4]Legend!$A$71, [4]Legend!$B$71, IF(J93=[4]Legend!$A$72, [4]Legend!$B$72, IF(J93=[4]Legend!$A$73, [4]Legend!$B$73, (IF(J93=[4]Legend!$A$74, [4]Legend!$B$74, IF(J93=[4]Legend!$A$75, [4]Legend!$B$75, "")))))))))))</f>
        <v>5</v>
      </c>
      <c r="L93" s="5">
        <v>25</v>
      </c>
      <c r="M93" s="5"/>
      <c r="N93" s="5"/>
      <c r="O93" s="5"/>
    </row>
    <row r="94" spans="1:15" ht="14" customHeight="1" x14ac:dyDescent="0.45">
      <c r="A94" s="14">
        <v>45574</v>
      </c>
      <c r="B94" s="5" t="s">
        <v>99</v>
      </c>
      <c r="C94" s="5" t="s">
        <v>90</v>
      </c>
      <c r="D94" s="5">
        <v>1</v>
      </c>
      <c r="E94" s="5">
        <v>6</v>
      </c>
      <c r="F94" s="31">
        <v>1</v>
      </c>
      <c r="G94" s="7">
        <v>45621</v>
      </c>
      <c r="H94" s="5" t="s">
        <v>37</v>
      </c>
      <c r="I94" s="5">
        <v>1</v>
      </c>
      <c r="J94" s="5" t="s">
        <v>69</v>
      </c>
      <c r="K94" s="6">
        <f>IF(J94=[4]Legend!$A$67,[4]Legend!$B$67,(IF(J94=[4]Legend!$A$68,[4]Legend!$B$68,IF(J94=[4]Legend!$A$69, [4]Legend!$B$69, IF(J94=[4]Legend!$A$70, [4]Legend!$B$70, IF(J94=[4]Legend!$A$71, [4]Legend!$B$71, IF(J94=[4]Legend!$A$72, [4]Legend!$B$72, IF(J94=[4]Legend!$A$73, [4]Legend!$B$73, (IF(J94=[4]Legend!$A$74, [4]Legend!$B$74, IF(J94=[4]Legend!$A$75, [4]Legend!$B$75, "")))))))))))</f>
        <v>120</v>
      </c>
      <c r="L94" s="5">
        <v>120</v>
      </c>
      <c r="M94" s="5"/>
      <c r="N94" s="5"/>
      <c r="O94" s="5"/>
    </row>
    <row r="95" spans="1:15" ht="14" customHeight="1" x14ac:dyDescent="0.45">
      <c r="A95" s="7">
        <v>45574</v>
      </c>
      <c r="B95" s="5" t="s">
        <v>99</v>
      </c>
      <c r="C95" s="5" t="s">
        <v>90</v>
      </c>
      <c r="D95" s="5">
        <v>1</v>
      </c>
      <c r="E95" s="5">
        <v>6</v>
      </c>
      <c r="F95" s="31">
        <v>1</v>
      </c>
      <c r="G95" s="7">
        <v>45673</v>
      </c>
      <c r="H95" s="5" t="s">
        <v>91</v>
      </c>
      <c r="I95" s="5">
        <v>1</v>
      </c>
      <c r="J95" s="5" t="s">
        <v>60</v>
      </c>
      <c r="K95" s="6">
        <f>IF(J95=[8]Legend!$A$66,[8]Legend!$B$66,(IF(J95=[8]Legend!$A$67,[8]Legend!$B$67,IF(J95=[8]Legend!$A$68, [8]Legend!$B$68, IF(J95=[8]Legend!$A$69, [8]Legend!$B$69, IF(J95=[8]Legend!$A$70, [8]Legend!$B$70, IF(J95=[8]Legend!$A$71, [8]Legend!$B$71, IF(J95=[8]Legend!$A$72, [8]Legend!$B$72, (IF(J95=[8]Legend!$A$73, [8]Legend!$B$73, IF(J95=[8]Legend!$A$74, [8]Legend!$B$74, "")))))))))))</f>
        <v>25</v>
      </c>
      <c r="L95" s="5">
        <v>25</v>
      </c>
      <c r="M95" s="5">
        <v>0</v>
      </c>
      <c r="N95" s="5"/>
      <c r="O95" s="5"/>
    </row>
    <row r="96" spans="1:15" ht="14" customHeight="1" x14ac:dyDescent="0.45">
      <c r="A96" s="7">
        <v>45574</v>
      </c>
      <c r="B96" s="5" t="s">
        <v>99</v>
      </c>
      <c r="C96" s="5" t="s">
        <v>90</v>
      </c>
      <c r="D96" s="5">
        <v>1</v>
      </c>
      <c r="E96" s="5">
        <v>6</v>
      </c>
      <c r="F96" s="31">
        <v>1</v>
      </c>
      <c r="G96" s="7">
        <v>45673</v>
      </c>
      <c r="H96" s="5" t="s">
        <v>91</v>
      </c>
      <c r="I96" s="5">
        <v>1</v>
      </c>
      <c r="J96" s="5" t="s">
        <v>18</v>
      </c>
      <c r="K96" s="6">
        <f>IF(J96=[8]Legend!$A$66,[8]Legend!$B$66,(IF(J96=[8]Legend!$A$67,[8]Legend!$B$67,IF(J96=[8]Legend!$A$68, [8]Legend!$B$68, IF(J96=[8]Legend!$A$69, [8]Legend!$B$69, IF(J96=[8]Legend!$A$70, [8]Legend!$B$70, IF(J96=[8]Legend!$A$71, [8]Legend!$B$71, IF(J96=[8]Legend!$A$72, [8]Legend!$B$72, (IF(J96=[8]Legend!$A$73, [8]Legend!$B$73, IF(J96=[8]Legend!$A$74, [8]Legend!$B$74, "")))))))))))</f>
        <v>5</v>
      </c>
      <c r="L96" s="5">
        <v>5</v>
      </c>
      <c r="M96" s="5">
        <v>0</v>
      </c>
      <c r="N96" s="5"/>
      <c r="O96" s="5"/>
    </row>
    <row r="97" spans="1:15" ht="14" customHeight="1" x14ac:dyDescent="0.45">
      <c r="A97" s="7">
        <v>45574</v>
      </c>
      <c r="B97" s="5" t="s">
        <v>99</v>
      </c>
      <c r="C97" s="5" t="s">
        <v>90</v>
      </c>
      <c r="D97" s="5">
        <v>1</v>
      </c>
      <c r="E97" s="5">
        <v>6</v>
      </c>
      <c r="F97" s="31">
        <v>1</v>
      </c>
      <c r="G97" s="7">
        <v>45673</v>
      </c>
      <c r="H97" s="5" t="s">
        <v>91</v>
      </c>
      <c r="I97" s="5">
        <v>1</v>
      </c>
      <c r="J97" s="5" t="s">
        <v>69</v>
      </c>
      <c r="K97" s="6">
        <f>IF(J97=[8]Legend!$A$66,[8]Legend!$B$66,(IF(J97=[8]Legend!$A$67,[8]Legend!$B$67,IF(J97=[8]Legend!$A$68, [8]Legend!$B$68, IF(J97=[8]Legend!$A$69, [8]Legend!$B$69, IF(J97=[8]Legend!$A$70, [8]Legend!$B$70, IF(J97=[8]Legend!$A$71, [8]Legend!$B$71, IF(J97=[8]Legend!$A$72, [8]Legend!$B$72, (IF(J97=[8]Legend!$A$73, [8]Legend!$B$73, IF(J97=[8]Legend!$A$74, [8]Legend!$B$74, "")))))))))))</f>
        <v>120</v>
      </c>
      <c r="L97" s="5">
        <v>120</v>
      </c>
      <c r="M97" s="5">
        <v>0</v>
      </c>
      <c r="N97" s="5"/>
      <c r="O97" s="5"/>
    </row>
    <row r="98" spans="1:15" ht="14" customHeight="1" x14ac:dyDescent="0.45">
      <c r="A98" s="7">
        <v>45581</v>
      </c>
      <c r="B98" s="5" t="s">
        <v>99</v>
      </c>
      <c r="C98" s="5" t="s">
        <v>124</v>
      </c>
      <c r="D98" s="5">
        <v>2</v>
      </c>
      <c r="E98" s="5">
        <v>6</v>
      </c>
      <c r="F98" s="5">
        <v>1</v>
      </c>
      <c r="G98" s="7">
        <v>45733</v>
      </c>
      <c r="H98" s="5" t="s">
        <v>91</v>
      </c>
      <c r="I98" s="5">
        <v>1</v>
      </c>
      <c r="J98" s="5" t="s">
        <v>60</v>
      </c>
      <c r="K98" s="6">
        <f>IF(J98=[9]Legend!$A$67,[9]Legend!$B$67,(IF(J98=[9]Legend!$A$68,[9]Legend!$B$68,IF(J98=[9]Legend!$A$69, [9]Legend!$B$69, IF(J98=[9]Legend!$A$70, [9]Legend!$B$70, IF(J98=[9]Legend!$A$71, [9]Legend!$B$71, IF(J98=[9]Legend!$A$72, [9]Legend!$B$72, IF(J98=[9]Legend!$A$73, [9]Legend!$B$73, (IF(J98=[9]Legend!$A$74, [9]Legend!$B$74, IF(J98=[9]Legend!$A$75, [9]Legend!$B$75, "")))))))))))</f>
        <v>25</v>
      </c>
      <c r="L98" s="5">
        <v>25</v>
      </c>
      <c r="M98" s="5">
        <v>0</v>
      </c>
      <c r="N98" s="5"/>
      <c r="O98" s="5"/>
    </row>
    <row r="99" spans="1:15" ht="14" customHeight="1" x14ac:dyDescent="0.45">
      <c r="A99" s="7">
        <v>45581</v>
      </c>
      <c r="B99" s="5" t="s">
        <v>99</v>
      </c>
      <c r="C99" s="5" t="s">
        <v>124</v>
      </c>
      <c r="D99" s="5">
        <v>2</v>
      </c>
      <c r="E99" s="5">
        <v>6</v>
      </c>
      <c r="F99" s="5">
        <v>1</v>
      </c>
      <c r="G99" s="7">
        <v>45733</v>
      </c>
      <c r="H99" s="5" t="s">
        <v>91</v>
      </c>
      <c r="I99" s="5">
        <v>1</v>
      </c>
      <c r="J99" s="5" t="s">
        <v>18</v>
      </c>
      <c r="K99" s="6">
        <f>IF(J99=[9]Legend!$A$67,[9]Legend!$B$67,(IF(J99=[9]Legend!$A$68,[9]Legend!$B$68,IF(J99=[9]Legend!$A$69, [9]Legend!$B$69, IF(J99=[9]Legend!$A$70, [9]Legend!$B$70, IF(J99=[9]Legend!$A$71, [9]Legend!$B$71, IF(J99=[9]Legend!$A$72, [9]Legend!$B$72, IF(J99=[9]Legend!$A$73, [9]Legend!$B$73, (IF(J99=[9]Legend!$A$74, [9]Legend!$B$74, IF(J99=[9]Legend!$A$75, [9]Legend!$B$75, "")))))))))))</f>
        <v>5</v>
      </c>
      <c r="L99" s="5">
        <v>5</v>
      </c>
      <c r="M99" s="5">
        <v>0</v>
      </c>
      <c r="N99" s="5"/>
      <c r="O99" s="5"/>
    </row>
    <row r="100" spans="1:15" ht="14" customHeight="1" x14ac:dyDescent="0.45">
      <c r="A100" s="7">
        <v>45581</v>
      </c>
      <c r="B100" s="5" t="s">
        <v>99</v>
      </c>
      <c r="C100" s="5" t="s">
        <v>124</v>
      </c>
      <c r="D100" s="5">
        <v>2</v>
      </c>
      <c r="E100" s="5">
        <v>6</v>
      </c>
      <c r="F100" s="5">
        <v>1</v>
      </c>
      <c r="G100" s="7">
        <v>45733</v>
      </c>
      <c r="H100" s="5" t="s">
        <v>91</v>
      </c>
      <c r="I100" s="5">
        <v>1</v>
      </c>
      <c r="J100" s="5" t="s">
        <v>69</v>
      </c>
      <c r="K100" s="6">
        <f>IF(J100=[9]Legend!$A$67,[9]Legend!$B$67,(IF(J100=[9]Legend!$A$68,[9]Legend!$B$68,IF(J100=[9]Legend!$A$69, [9]Legend!$B$69, IF(J100=[9]Legend!$A$70, [9]Legend!$B$70, IF(J100=[9]Legend!$A$71, [9]Legend!$B$71, IF(J100=[9]Legend!$A$72, [9]Legend!$B$72, IF(J100=[9]Legend!$A$73, [9]Legend!$B$73, (IF(J100=[9]Legend!$A$74, [9]Legend!$B$74, IF(J100=[9]Legend!$A$75, [9]Legend!$B$75, "")))))))))))</f>
        <v>120</v>
      </c>
      <c r="L100" s="5">
        <v>120</v>
      </c>
      <c r="M100" s="5">
        <v>0</v>
      </c>
      <c r="N100" s="5"/>
      <c r="O100" s="5"/>
    </row>
    <row r="101" spans="1:15" ht="14" customHeight="1" x14ac:dyDescent="0.45">
      <c r="A101" s="7">
        <v>45581</v>
      </c>
      <c r="B101" s="5" t="s">
        <v>99</v>
      </c>
      <c r="C101" s="5" t="s">
        <v>124</v>
      </c>
      <c r="D101" s="5">
        <v>2</v>
      </c>
      <c r="E101" s="5">
        <v>6</v>
      </c>
      <c r="F101" s="5">
        <v>2</v>
      </c>
      <c r="G101" s="7">
        <v>45734</v>
      </c>
      <c r="H101" s="5" t="s">
        <v>91</v>
      </c>
      <c r="I101" s="5">
        <v>1</v>
      </c>
      <c r="J101" s="5" t="s">
        <v>60</v>
      </c>
      <c r="K101" s="6">
        <f>IF(J101=[9]Legend!$A$67,[9]Legend!$B$67,(IF(J101=[9]Legend!$A$68,[9]Legend!$B$68,IF(J101=[9]Legend!$A$69, [9]Legend!$B$69, IF(J101=[9]Legend!$A$70, [9]Legend!$B$70, IF(J101=[9]Legend!$A$71, [9]Legend!$B$71, IF(J101=[9]Legend!$A$72, [9]Legend!$B$72, IF(J101=[9]Legend!$A$73, [9]Legend!$B$73, (IF(J101=[9]Legend!$A$74, [9]Legend!$B$74, IF(J101=[9]Legend!$A$75, [9]Legend!$B$75, "")))))))))))</f>
        <v>25</v>
      </c>
      <c r="L101" s="5">
        <v>25</v>
      </c>
      <c r="M101" s="5">
        <v>3</v>
      </c>
      <c r="N101" s="5" t="s">
        <v>23</v>
      </c>
      <c r="O101" s="5"/>
    </row>
    <row r="102" spans="1:15" ht="14" customHeight="1" x14ac:dyDescent="0.45">
      <c r="A102" s="7">
        <v>45581</v>
      </c>
      <c r="B102" s="5" t="s">
        <v>99</v>
      </c>
      <c r="C102" s="5" t="s">
        <v>124</v>
      </c>
      <c r="D102" s="5">
        <v>2</v>
      </c>
      <c r="E102" s="5">
        <v>6</v>
      </c>
      <c r="F102" s="5">
        <v>2</v>
      </c>
      <c r="G102" s="7">
        <v>45734</v>
      </c>
      <c r="H102" s="5" t="s">
        <v>91</v>
      </c>
      <c r="I102" s="5">
        <v>1</v>
      </c>
      <c r="J102" s="5" t="s">
        <v>18</v>
      </c>
      <c r="K102" s="6">
        <f>IF(J102=[9]Legend!$A$67,[9]Legend!$B$67,(IF(J102=[9]Legend!$A$68,[9]Legend!$B$68,IF(J102=[9]Legend!$A$69, [9]Legend!$B$69, IF(J102=[9]Legend!$A$70, [9]Legend!$B$70, IF(J102=[9]Legend!$A$71, [9]Legend!$B$71, IF(J102=[9]Legend!$A$72, [9]Legend!$B$72, IF(J102=[9]Legend!$A$73, [9]Legend!$B$73, (IF(J102=[9]Legend!$A$74, [9]Legend!$B$74, IF(J102=[9]Legend!$A$75, [9]Legend!$B$75, "")))))))))))</f>
        <v>5</v>
      </c>
      <c r="L102" s="5">
        <v>5</v>
      </c>
      <c r="M102" s="5">
        <v>0</v>
      </c>
      <c r="N102" s="5"/>
      <c r="O102" s="5"/>
    </row>
    <row r="103" spans="1:15" ht="14" customHeight="1" x14ac:dyDescent="0.45">
      <c r="A103" s="7">
        <v>45581</v>
      </c>
      <c r="B103" s="5" t="s">
        <v>99</v>
      </c>
      <c r="C103" s="5" t="s">
        <v>124</v>
      </c>
      <c r="D103" s="5">
        <v>2</v>
      </c>
      <c r="E103" s="5">
        <v>6</v>
      </c>
      <c r="F103" s="5">
        <v>2</v>
      </c>
      <c r="G103" s="7">
        <v>45734</v>
      </c>
      <c r="H103" s="5" t="s">
        <v>91</v>
      </c>
      <c r="I103" s="5">
        <v>1</v>
      </c>
      <c r="J103" s="5" t="s">
        <v>69</v>
      </c>
      <c r="K103" s="6">
        <f>IF(J103=[9]Legend!$A$67,[9]Legend!$B$67,(IF(J103=[9]Legend!$A$68,[9]Legend!$B$68,IF(J103=[9]Legend!$A$69, [9]Legend!$B$69, IF(J103=[9]Legend!$A$70, [9]Legend!$B$70, IF(J103=[9]Legend!$A$71, [9]Legend!$B$71, IF(J103=[9]Legend!$A$72, [9]Legend!$B$72, IF(J103=[9]Legend!$A$73, [9]Legend!$B$73, (IF(J103=[9]Legend!$A$74, [9]Legend!$B$74, IF(J103=[9]Legend!$A$75, [9]Legend!$B$75, "")))))))))))</f>
        <v>120</v>
      </c>
      <c r="L103" s="5">
        <v>118</v>
      </c>
      <c r="M103" s="5">
        <v>0</v>
      </c>
      <c r="N103" s="5"/>
      <c r="O103" s="5"/>
    </row>
    <row r="104" spans="1:15" ht="14" customHeight="1" x14ac:dyDescent="0.45">
      <c r="A104" s="7">
        <v>45588</v>
      </c>
      <c r="B104" s="5" t="s">
        <v>99</v>
      </c>
      <c r="C104" s="5" t="s">
        <v>16</v>
      </c>
      <c r="D104" s="5">
        <v>3</v>
      </c>
      <c r="E104" s="5">
        <v>6</v>
      </c>
      <c r="F104" s="5">
        <v>1</v>
      </c>
      <c r="G104" s="7">
        <v>45684</v>
      </c>
      <c r="H104" s="5" t="s">
        <v>91</v>
      </c>
      <c r="I104" s="5">
        <v>1</v>
      </c>
      <c r="J104" s="5" t="s">
        <v>60</v>
      </c>
      <c r="K104" s="6">
        <f>IF(J104=[12]Legend!$A$66,[12]Legend!$B$66,(IF(J104=[12]Legend!$A$67,[12]Legend!$B$67,IF(J104=[12]Legend!$A$68, [12]Legend!$B$68, IF(J104=[12]Legend!$A$69, [12]Legend!$B$69, IF(J104=[12]Legend!$A$70, [12]Legend!$B$70, IF(J104=[12]Legend!$A$71, [12]Legend!$B$71, IF(J104=[12]Legend!$A$72, [12]Legend!$B$72, (IF(J104=[12]Legend!$A$73, [12]Legend!$B$73, IF(J104=[12]Legend!$A$74, [12]Legend!$B$74, "")))))))))))</f>
        <v>25</v>
      </c>
      <c r="L104" s="5">
        <v>24</v>
      </c>
      <c r="M104" s="5">
        <v>0</v>
      </c>
      <c r="N104" s="5"/>
      <c r="O104" s="5" t="s">
        <v>152</v>
      </c>
    </row>
    <row r="105" spans="1:15" ht="14" customHeight="1" x14ac:dyDescent="0.45">
      <c r="A105" s="7">
        <v>45588</v>
      </c>
      <c r="B105" s="5" t="s">
        <v>99</v>
      </c>
      <c r="C105" s="5" t="s">
        <v>16</v>
      </c>
      <c r="D105" s="5">
        <v>3</v>
      </c>
      <c r="E105" s="5">
        <v>6</v>
      </c>
      <c r="F105" s="5">
        <v>1</v>
      </c>
      <c r="G105" s="7">
        <v>45684</v>
      </c>
      <c r="H105" s="5" t="s">
        <v>91</v>
      </c>
      <c r="I105" s="5">
        <v>1</v>
      </c>
      <c r="J105" s="5" t="s">
        <v>18</v>
      </c>
      <c r="K105" s="6">
        <f>IF(J105=[12]Legend!$A$66,[12]Legend!$B$66,(IF(J105=[12]Legend!$A$67,[12]Legend!$B$67,IF(J105=[12]Legend!$A$68, [12]Legend!$B$68, IF(J105=[12]Legend!$A$69, [12]Legend!$B$69, IF(J105=[12]Legend!$A$70, [12]Legend!$B$70, IF(J105=[12]Legend!$A$71, [12]Legend!$B$71, IF(J105=[12]Legend!$A$72, [12]Legend!$B$72, (IF(J105=[12]Legend!$A$73, [12]Legend!$B$73, IF(J105=[12]Legend!$A$74, [12]Legend!$B$74, "")))))))))))</f>
        <v>5</v>
      </c>
      <c r="L105" s="5">
        <v>5</v>
      </c>
      <c r="M105" s="5">
        <v>0</v>
      </c>
      <c r="N105" s="5"/>
      <c r="O105" s="5" t="s">
        <v>152</v>
      </c>
    </row>
    <row r="106" spans="1:15" ht="14" customHeight="1" x14ac:dyDescent="0.45">
      <c r="A106" s="7">
        <v>45588</v>
      </c>
      <c r="B106" s="5" t="s">
        <v>99</v>
      </c>
      <c r="C106" s="5" t="s">
        <v>16</v>
      </c>
      <c r="D106" s="5">
        <v>3</v>
      </c>
      <c r="E106" s="5">
        <v>6</v>
      </c>
      <c r="F106" s="5">
        <v>1</v>
      </c>
      <c r="G106" s="7">
        <v>45684</v>
      </c>
      <c r="H106" s="5" t="s">
        <v>91</v>
      </c>
      <c r="I106" s="5">
        <v>1</v>
      </c>
      <c r="J106" s="5" t="s">
        <v>69</v>
      </c>
      <c r="K106" s="6">
        <f>IF(J106=[12]Legend!$A$66,[12]Legend!$B$66,(IF(J106=[12]Legend!$A$67,[12]Legend!$B$67,IF(J106=[12]Legend!$A$68, [12]Legend!$B$68, IF(J106=[12]Legend!$A$69, [12]Legend!$B$69, IF(J106=[12]Legend!$A$70, [12]Legend!$B$70, IF(J106=[12]Legend!$A$71, [12]Legend!$B$71, IF(J106=[12]Legend!$A$72, [12]Legend!$B$72, (IF(J106=[12]Legend!$A$73, [12]Legend!$B$73, IF(J106=[12]Legend!$A$74, [12]Legend!$B$74, "")))))))))))</f>
        <v>120</v>
      </c>
      <c r="L106" s="5">
        <v>119</v>
      </c>
      <c r="M106" s="5">
        <v>1</v>
      </c>
      <c r="N106" s="5" t="s">
        <v>30</v>
      </c>
      <c r="O106" s="5" t="s">
        <v>152</v>
      </c>
    </row>
    <row r="107" spans="1:15" ht="14" customHeight="1" x14ac:dyDescent="0.45">
      <c r="A107" s="7">
        <v>45588</v>
      </c>
      <c r="B107" s="5" t="s">
        <v>99</v>
      </c>
      <c r="C107" s="5" t="s">
        <v>16</v>
      </c>
      <c r="D107" s="5">
        <v>3</v>
      </c>
      <c r="E107" s="5">
        <v>6</v>
      </c>
      <c r="F107" s="5">
        <v>2</v>
      </c>
      <c r="G107" s="7">
        <v>45684</v>
      </c>
      <c r="H107" s="5" t="s">
        <v>91</v>
      </c>
      <c r="I107" s="5">
        <v>1</v>
      </c>
      <c r="J107" s="5" t="s">
        <v>60</v>
      </c>
      <c r="K107" s="6">
        <f>IF(J107=[12]Legend!$A$66,[12]Legend!$B$66,(IF(J107=[12]Legend!$A$67,[12]Legend!$B$67,IF(J107=[12]Legend!$A$68, [12]Legend!$B$68, IF(J107=[12]Legend!$A$69, [12]Legend!$B$69, IF(J107=[12]Legend!$A$70, [12]Legend!$B$70, IF(J107=[12]Legend!$A$71, [12]Legend!$B$71, IF(J107=[12]Legend!$A$72, [12]Legend!$B$72, (IF(J107=[12]Legend!$A$73, [12]Legend!$B$73, IF(J107=[12]Legend!$A$74, [12]Legend!$B$74, "")))))))))))</f>
        <v>25</v>
      </c>
      <c r="L107" s="5">
        <v>25</v>
      </c>
      <c r="M107" s="5">
        <v>0</v>
      </c>
      <c r="N107" s="5"/>
      <c r="O107" s="5"/>
    </row>
    <row r="108" spans="1:15" ht="14" customHeight="1" x14ac:dyDescent="0.45">
      <c r="A108" s="7">
        <v>45588</v>
      </c>
      <c r="B108" s="5" t="s">
        <v>99</v>
      </c>
      <c r="C108" s="5" t="s">
        <v>16</v>
      </c>
      <c r="D108" s="5">
        <v>3</v>
      </c>
      <c r="E108" s="5">
        <v>6</v>
      </c>
      <c r="F108" s="5">
        <v>2</v>
      </c>
      <c r="G108" s="7">
        <v>45684</v>
      </c>
      <c r="H108" s="5" t="s">
        <v>91</v>
      </c>
      <c r="I108" s="5">
        <v>1</v>
      </c>
      <c r="J108" s="5" t="s">
        <v>18</v>
      </c>
      <c r="K108" s="6">
        <f>IF(J108=[12]Legend!$A$66,[12]Legend!$B$66,(IF(J108=[12]Legend!$A$67,[12]Legend!$B$67,IF(J108=[12]Legend!$A$68, [12]Legend!$B$68, IF(J108=[12]Legend!$A$69, [12]Legend!$B$69, IF(J108=[12]Legend!$A$70, [12]Legend!$B$70, IF(J108=[12]Legend!$A$71, [12]Legend!$B$71, IF(J108=[12]Legend!$A$72, [12]Legend!$B$72, (IF(J108=[12]Legend!$A$73, [12]Legend!$B$73, IF(J108=[12]Legend!$A$74, [12]Legend!$B$74, "")))))))))))</f>
        <v>5</v>
      </c>
      <c r="L108" s="5">
        <v>4</v>
      </c>
      <c r="M108" s="5">
        <v>0</v>
      </c>
      <c r="N108" s="5"/>
      <c r="O108" s="5"/>
    </row>
    <row r="109" spans="1:15" ht="14" customHeight="1" x14ac:dyDescent="0.45">
      <c r="A109" s="7">
        <v>45588</v>
      </c>
      <c r="B109" s="5" t="s">
        <v>99</v>
      </c>
      <c r="C109" s="5" t="s">
        <v>16</v>
      </c>
      <c r="D109" s="5">
        <v>3</v>
      </c>
      <c r="E109" s="5">
        <v>6</v>
      </c>
      <c r="F109" s="5">
        <v>2</v>
      </c>
      <c r="G109" s="7">
        <v>45684</v>
      </c>
      <c r="H109" s="5" t="s">
        <v>91</v>
      </c>
      <c r="I109" s="5">
        <v>1</v>
      </c>
      <c r="J109" s="5" t="s">
        <v>69</v>
      </c>
      <c r="K109" s="6">
        <f>IF(J109=[12]Legend!$A$66,[12]Legend!$B$66,(IF(J109=[12]Legend!$A$67,[12]Legend!$B$67,IF(J109=[12]Legend!$A$68, [12]Legend!$B$68, IF(J109=[12]Legend!$A$69, [12]Legend!$B$69, IF(J109=[12]Legend!$A$70, [12]Legend!$B$70, IF(J109=[12]Legend!$A$71, [12]Legend!$B$71, IF(J109=[12]Legend!$A$72, [12]Legend!$B$72, (IF(J109=[12]Legend!$A$73, [12]Legend!$B$73, IF(J109=[12]Legend!$A$74, [12]Legend!$B$74, "")))))))))))</f>
        <v>120</v>
      </c>
      <c r="L109" s="5">
        <v>121</v>
      </c>
      <c r="M109" s="5">
        <v>1</v>
      </c>
      <c r="N109" s="5" t="s">
        <v>30</v>
      </c>
      <c r="O109" s="5"/>
    </row>
    <row r="110" spans="1:15" ht="14" customHeight="1" x14ac:dyDescent="0.45">
      <c r="A110" s="14">
        <v>45574</v>
      </c>
      <c r="B110" s="5" t="s">
        <v>99</v>
      </c>
      <c r="C110" s="5" t="s">
        <v>90</v>
      </c>
      <c r="D110" s="5">
        <v>1</v>
      </c>
      <c r="E110" s="5">
        <v>7</v>
      </c>
      <c r="F110" s="5">
        <v>1</v>
      </c>
      <c r="G110" s="7">
        <v>45621</v>
      </c>
      <c r="H110" s="5" t="s">
        <v>37</v>
      </c>
      <c r="I110" s="5">
        <v>1</v>
      </c>
      <c r="J110" s="5" t="s">
        <v>60</v>
      </c>
      <c r="K110" s="6">
        <f>IF(J110=[4]Legend!$A$67,[4]Legend!$B$67,(IF(J110=[4]Legend!$A$68,[4]Legend!$B$68,IF(J110=[4]Legend!$A$69, [4]Legend!$B$69, IF(J110=[4]Legend!$A$70, [4]Legend!$B$70, IF(J110=[4]Legend!$A$71, [4]Legend!$B$71, IF(J110=[4]Legend!$A$72, [4]Legend!$B$72, IF(J110=[4]Legend!$A$73, [4]Legend!$B$73, (IF(J110=[4]Legend!$A$74, [4]Legend!$B$74, IF(J110=[4]Legend!$A$75, [4]Legend!$B$75, "")))))))))))</f>
        <v>25</v>
      </c>
      <c r="L110" s="5">
        <v>25</v>
      </c>
      <c r="M110" s="5"/>
      <c r="N110" s="5"/>
      <c r="O110" s="5"/>
    </row>
    <row r="111" spans="1:15" ht="14" customHeight="1" x14ac:dyDescent="0.45">
      <c r="A111" s="14">
        <v>45574</v>
      </c>
      <c r="B111" s="5" t="s">
        <v>99</v>
      </c>
      <c r="C111" s="5" t="s">
        <v>90</v>
      </c>
      <c r="D111" s="5">
        <v>1</v>
      </c>
      <c r="E111" s="5">
        <v>7</v>
      </c>
      <c r="F111" s="5">
        <v>1</v>
      </c>
      <c r="G111" s="7">
        <v>45621</v>
      </c>
      <c r="H111" s="5" t="s">
        <v>37</v>
      </c>
      <c r="I111" s="5">
        <v>1</v>
      </c>
      <c r="J111" s="5" t="s">
        <v>18</v>
      </c>
      <c r="K111" s="6">
        <f>IF(J111=[4]Legend!$A$67,[4]Legend!$B$67,(IF(J111=[4]Legend!$A$68,[4]Legend!$B$68,IF(J111=[4]Legend!$A$69, [4]Legend!$B$69, IF(J111=[4]Legend!$A$70, [4]Legend!$B$70, IF(J111=[4]Legend!$A$71, [4]Legend!$B$71, IF(J111=[4]Legend!$A$72, [4]Legend!$B$72, IF(J111=[4]Legend!$A$73, [4]Legend!$B$73, (IF(J111=[4]Legend!$A$74, [4]Legend!$B$74, IF(J111=[4]Legend!$A$75, [4]Legend!$B$75, "")))))))))))</f>
        <v>5</v>
      </c>
      <c r="L111" s="5">
        <v>5</v>
      </c>
      <c r="M111" s="5"/>
      <c r="N111" s="5"/>
      <c r="O111" s="5"/>
    </row>
    <row r="112" spans="1:15" ht="14" customHeight="1" x14ac:dyDescent="0.45">
      <c r="A112" s="14">
        <v>45574</v>
      </c>
      <c r="B112" s="5" t="s">
        <v>99</v>
      </c>
      <c r="C112" s="5" t="s">
        <v>90</v>
      </c>
      <c r="D112" s="5">
        <v>1</v>
      </c>
      <c r="E112" s="5">
        <v>7</v>
      </c>
      <c r="F112" s="5">
        <v>1</v>
      </c>
      <c r="G112" s="7">
        <v>45621</v>
      </c>
      <c r="H112" s="5" t="s">
        <v>37</v>
      </c>
      <c r="I112" s="5">
        <v>1</v>
      </c>
      <c r="J112" s="5" t="s">
        <v>69</v>
      </c>
      <c r="K112" s="6">
        <f>IF(J112=[4]Legend!$A$67,[4]Legend!$B$67,(IF(J112=[4]Legend!$A$68,[4]Legend!$B$68,IF(J112=[4]Legend!$A$69, [4]Legend!$B$69, IF(J112=[4]Legend!$A$70, [4]Legend!$B$70, IF(J112=[4]Legend!$A$71, [4]Legend!$B$71, IF(J112=[4]Legend!$A$72, [4]Legend!$B$72, IF(J112=[4]Legend!$A$73, [4]Legend!$B$73, (IF(J112=[4]Legend!$A$74, [4]Legend!$B$74, IF(J112=[4]Legend!$A$75, [4]Legend!$B$75, "")))))))))))</f>
        <v>120</v>
      </c>
      <c r="L112" s="5">
        <v>119</v>
      </c>
      <c r="M112" s="5"/>
      <c r="N112" s="5"/>
      <c r="O112" s="5"/>
    </row>
    <row r="113" spans="1:15" ht="14" customHeight="1" x14ac:dyDescent="0.45">
      <c r="A113" s="7">
        <v>45574</v>
      </c>
      <c r="B113" s="5" t="s">
        <v>99</v>
      </c>
      <c r="C113" s="5" t="s">
        <v>90</v>
      </c>
      <c r="D113" s="5">
        <v>1</v>
      </c>
      <c r="E113" s="5">
        <v>7</v>
      </c>
      <c r="F113" s="5">
        <v>2</v>
      </c>
      <c r="G113" s="7">
        <v>45673</v>
      </c>
      <c r="H113" s="5" t="s">
        <v>91</v>
      </c>
      <c r="I113" s="5">
        <v>1</v>
      </c>
      <c r="J113" s="5" t="s">
        <v>60</v>
      </c>
      <c r="K113" s="6">
        <f>IF(J113=[8]Legend!$A$66,[8]Legend!$B$66,(IF(J113=[8]Legend!$A$67,[8]Legend!$B$67,IF(J113=[8]Legend!$A$68, [8]Legend!$B$68, IF(J113=[8]Legend!$A$69, [8]Legend!$B$69, IF(J113=[8]Legend!$A$70, [8]Legend!$B$70, IF(J113=[8]Legend!$A$71, [8]Legend!$B$71, IF(J113=[8]Legend!$A$72, [8]Legend!$B$72, (IF(J113=[8]Legend!$A$73, [8]Legend!$B$73, IF(J113=[8]Legend!$A$74, [8]Legend!$B$74, "")))))))))))</f>
        <v>25</v>
      </c>
      <c r="L113" s="5">
        <v>25</v>
      </c>
      <c r="M113" s="5">
        <v>0</v>
      </c>
      <c r="N113" s="5"/>
      <c r="O113" s="5"/>
    </row>
    <row r="114" spans="1:15" ht="14" customHeight="1" x14ac:dyDescent="0.45">
      <c r="A114" s="7">
        <v>45574</v>
      </c>
      <c r="B114" s="5" t="s">
        <v>99</v>
      </c>
      <c r="C114" s="5" t="s">
        <v>90</v>
      </c>
      <c r="D114" s="5">
        <v>1</v>
      </c>
      <c r="E114" s="5">
        <v>7</v>
      </c>
      <c r="F114" s="5">
        <v>2</v>
      </c>
      <c r="G114" s="7">
        <v>45673</v>
      </c>
      <c r="H114" s="5" t="s">
        <v>91</v>
      </c>
      <c r="I114" s="5">
        <v>1</v>
      </c>
      <c r="J114" s="5" t="s">
        <v>18</v>
      </c>
      <c r="K114" s="6">
        <f>IF(J114=[8]Legend!$A$66,[8]Legend!$B$66,(IF(J114=[8]Legend!$A$67,[8]Legend!$B$67,IF(J114=[8]Legend!$A$68, [8]Legend!$B$68, IF(J114=[8]Legend!$A$69, [8]Legend!$B$69, IF(J114=[8]Legend!$A$70, [8]Legend!$B$70, IF(J114=[8]Legend!$A$71, [8]Legend!$B$71, IF(J114=[8]Legend!$A$72, [8]Legend!$B$72, (IF(J114=[8]Legend!$A$73, [8]Legend!$B$73, IF(J114=[8]Legend!$A$74, [8]Legend!$B$74, "")))))))))))</f>
        <v>5</v>
      </c>
      <c r="L114" s="5">
        <v>5</v>
      </c>
      <c r="M114" s="5">
        <v>0</v>
      </c>
      <c r="N114" s="5"/>
      <c r="O114" s="5"/>
    </row>
    <row r="115" spans="1:15" ht="14" customHeight="1" x14ac:dyDescent="0.45">
      <c r="A115" s="7">
        <v>45574</v>
      </c>
      <c r="B115" s="5" t="s">
        <v>99</v>
      </c>
      <c r="C115" s="5" t="s">
        <v>90</v>
      </c>
      <c r="D115" s="5">
        <v>1</v>
      </c>
      <c r="E115" s="5">
        <v>7</v>
      </c>
      <c r="F115" s="5">
        <v>2</v>
      </c>
      <c r="G115" s="7">
        <v>45673</v>
      </c>
      <c r="H115" s="5" t="s">
        <v>91</v>
      </c>
      <c r="I115" s="5">
        <v>1</v>
      </c>
      <c r="J115" s="5" t="s">
        <v>69</v>
      </c>
      <c r="K115" s="6">
        <f>IF(J115=[8]Legend!$A$66,[8]Legend!$B$66,(IF(J115=[8]Legend!$A$67,[8]Legend!$B$67,IF(J115=[8]Legend!$A$68, [8]Legend!$B$68, IF(J115=[8]Legend!$A$69, [8]Legend!$B$69, IF(J115=[8]Legend!$A$70, [8]Legend!$B$70, IF(J115=[8]Legend!$A$71, [8]Legend!$B$71, IF(J115=[8]Legend!$A$72, [8]Legend!$B$72, (IF(J115=[8]Legend!$A$73, [8]Legend!$B$73, IF(J115=[8]Legend!$A$74, [8]Legend!$B$74, "")))))))))))</f>
        <v>120</v>
      </c>
      <c r="L115" s="5">
        <v>120</v>
      </c>
      <c r="M115" s="5">
        <v>1</v>
      </c>
      <c r="N115" s="5" t="s">
        <v>30</v>
      </c>
      <c r="O115" s="5"/>
    </row>
    <row r="116" spans="1:15" ht="14" customHeight="1" x14ac:dyDescent="0.45">
      <c r="A116" s="7">
        <v>45581</v>
      </c>
      <c r="B116" s="5" t="s">
        <v>99</v>
      </c>
      <c r="C116" s="5" t="s">
        <v>124</v>
      </c>
      <c r="D116" s="5">
        <v>2</v>
      </c>
      <c r="E116" s="5">
        <v>7</v>
      </c>
      <c r="F116" s="5">
        <v>2</v>
      </c>
      <c r="G116" s="7">
        <v>45361</v>
      </c>
      <c r="H116" s="5" t="s">
        <v>91</v>
      </c>
      <c r="I116" s="5">
        <v>1</v>
      </c>
      <c r="J116" s="5" t="s">
        <v>60</v>
      </c>
      <c r="K116" s="6">
        <f>IF(J116=[9]Legend!$A$67,[9]Legend!$B$67,(IF(J116=[9]Legend!$A$68,[9]Legend!$B$68,IF(J116=[9]Legend!$A$69, [9]Legend!$B$69, IF(J116=[9]Legend!$A$70, [9]Legend!$B$70, IF(J116=[9]Legend!$A$71, [9]Legend!$B$71, IF(J116=[9]Legend!$A$72, [9]Legend!$B$72, IF(J116=[9]Legend!$A$73, [9]Legend!$B$73, (IF(J116=[9]Legend!$A$74, [9]Legend!$B$74, IF(J116=[9]Legend!$A$75, [9]Legend!$B$75, "")))))))))))</f>
        <v>25</v>
      </c>
      <c r="L116" s="5">
        <v>25</v>
      </c>
      <c r="M116" s="5">
        <v>0</v>
      </c>
      <c r="N116" s="5"/>
      <c r="O116" s="5"/>
    </row>
    <row r="117" spans="1:15" ht="14" customHeight="1" x14ac:dyDescent="0.45">
      <c r="A117" s="7">
        <v>45581</v>
      </c>
      <c r="B117" s="5" t="s">
        <v>99</v>
      </c>
      <c r="C117" s="5" t="s">
        <v>124</v>
      </c>
      <c r="D117" s="5">
        <v>2</v>
      </c>
      <c r="E117" s="5">
        <v>7</v>
      </c>
      <c r="F117" s="5">
        <v>2</v>
      </c>
      <c r="G117" s="7">
        <v>45361</v>
      </c>
      <c r="H117" s="5" t="s">
        <v>91</v>
      </c>
      <c r="I117" s="5">
        <v>1</v>
      </c>
      <c r="J117" s="5" t="s">
        <v>18</v>
      </c>
      <c r="K117" s="6">
        <f>IF(J117=[9]Legend!$A$67,[9]Legend!$B$67,(IF(J117=[9]Legend!$A$68,[9]Legend!$B$68,IF(J117=[9]Legend!$A$69, [9]Legend!$B$69, IF(J117=[9]Legend!$A$70, [9]Legend!$B$70, IF(J117=[9]Legend!$A$71, [9]Legend!$B$71, IF(J117=[9]Legend!$A$72, [9]Legend!$B$72, IF(J117=[9]Legend!$A$73, [9]Legend!$B$73, (IF(J117=[9]Legend!$A$74, [9]Legend!$B$74, IF(J117=[9]Legend!$A$75, [9]Legend!$B$75, "")))))))))))</f>
        <v>5</v>
      </c>
      <c r="L117" s="5">
        <v>5</v>
      </c>
      <c r="M117" s="5">
        <v>0</v>
      </c>
      <c r="N117" s="5"/>
      <c r="O117" s="5"/>
    </row>
    <row r="118" spans="1:15" ht="14" customHeight="1" x14ac:dyDescent="0.45">
      <c r="A118" s="7">
        <v>45581</v>
      </c>
      <c r="B118" s="5" t="s">
        <v>99</v>
      </c>
      <c r="C118" s="5" t="s">
        <v>124</v>
      </c>
      <c r="D118" s="5">
        <v>2</v>
      </c>
      <c r="E118" s="5">
        <v>7</v>
      </c>
      <c r="F118" s="5">
        <v>2</v>
      </c>
      <c r="G118" s="7">
        <v>45361</v>
      </c>
      <c r="H118" s="5" t="s">
        <v>91</v>
      </c>
      <c r="I118" s="5">
        <v>1</v>
      </c>
      <c r="J118" s="5" t="s">
        <v>69</v>
      </c>
      <c r="K118" s="6">
        <f>IF(J118=[9]Legend!$A$67,[9]Legend!$B$67,(IF(J118=[9]Legend!$A$68,[9]Legend!$B$68,IF(J118=[9]Legend!$A$69, [9]Legend!$B$69, IF(J118=[9]Legend!$A$70, [9]Legend!$B$70, IF(J118=[9]Legend!$A$71, [9]Legend!$B$71, IF(J118=[9]Legend!$A$72, [9]Legend!$B$72, IF(J118=[9]Legend!$A$73, [9]Legend!$B$73, (IF(J118=[9]Legend!$A$74, [9]Legend!$B$74, IF(J118=[9]Legend!$A$75, [9]Legend!$B$75, "")))))))))))</f>
        <v>120</v>
      </c>
      <c r="L118" s="5">
        <v>120</v>
      </c>
      <c r="M118" s="5">
        <v>1</v>
      </c>
      <c r="N118" s="5" t="s">
        <v>30</v>
      </c>
      <c r="O118" s="5"/>
    </row>
    <row r="119" spans="1:15" ht="14" customHeight="1" x14ac:dyDescent="0.45">
      <c r="A119" s="7">
        <v>45581</v>
      </c>
      <c r="B119" s="5" t="s">
        <v>99</v>
      </c>
      <c r="C119" s="5" t="s">
        <v>124</v>
      </c>
      <c r="D119" s="5">
        <v>2</v>
      </c>
      <c r="E119" s="5">
        <v>7</v>
      </c>
      <c r="F119" s="5">
        <v>1</v>
      </c>
      <c r="G119" s="7">
        <v>45363</v>
      </c>
      <c r="H119" s="5" t="s">
        <v>91</v>
      </c>
      <c r="I119" s="5">
        <v>1</v>
      </c>
      <c r="J119" s="5" t="s">
        <v>60</v>
      </c>
      <c r="K119" s="6">
        <f>IF(J119=[9]Legend!$A$67,[9]Legend!$B$67,(IF(J119=[9]Legend!$A$68,[9]Legend!$B$68,IF(J119=[9]Legend!$A$69, [9]Legend!$B$69, IF(J119=[9]Legend!$A$70, [9]Legend!$B$70, IF(J119=[9]Legend!$A$71, [9]Legend!$B$71, IF(J119=[9]Legend!$A$72, [9]Legend!$B$72, IF(J119=[9]Legend!$A$73, [9]Legend!$B$73, (IF(J119=[9]Legend!$A$74, [9]Legend!$B$74, IF(J119=[9]Legend!$A$75, [9]Legend!$B$75, "")))))))))))</f>
        <v>25</v>
      </c>
      <c r="L119" s="5">
        <v>25</v>
      </c>
      <c r="M119" s="5">
        <v>0</v>
      </c>
      <c r="N119" s="5"/>
      <c r="O119" s="5"/>
    </row>
    <row r="120" spans="1:15" ht="14" customHeight="1" x14ac:dyDescent="0.45">
      <c r="A120" s="7">
        <v>45581</v>
      </c>
      <c r="B120" s="5" t="s">
        <v>99</v>
      </c>
      <c r="C120" s="5" t="s">
        <v>124</v>
      </c>
      <c r="D120" s="5">
        <v>2</v>
      </c>
      <c r="E120" s="5">
        <v>7</v>
      </c>
      <c r="F120" s="5">
        <v>1</v>
      </c>
      <c r="G120" s="7">
        <v>45363</v>
      </c>
      <c r="H120" s="5" t="s">
        <v>91</v>
      </c>
      <c r="I120" s="5">
        <v>1</v>
      </c>
      <c r="J120" s="5" t="s">
        <v>18</v>
      </c>
      <c r="K120" s="6">
        <f>IF(J120=[9]Legend!$A$67,[9]Legend!$B$67,(IF(J120=[9]Legend!$A$68,[9]Legend!$B$68,IF(J120=[9]Legend!$A$69, [9]Legend!$B$69, IF(J120=[9]Legend!$A$70, [9]Legend!$B$70, IF(J120=[9]Legend!$A$71, [9]Legend!$B$71, IF(J120=[9]Legend!$A$72, [9]Legend!$B$72, IF(J120=[9]Legend!$A$73, [9]Legend!$B$73, (IF(J120=[9]Legend!$A$74, [9]Legend!$B$74, IF(J120=[9]Legend!$A$75, [9]Legend!$B$75, "")))))))))))</f>
        <v>5</v>
      </c>
      <c r="L120" s="5">
        <v>5</v>
      </c>
      <c r="M120" s="5">
        <v>0</v>
      </c>
      <c r="N120" s="5"/>
      <c r="O120" s="5"/>
    </row>
    <row r="121" spans="1:15" ht="14" customHeight="1" x14ac:dyDescent="0.45">
      <c r="A121" s="7">
        <v>45581</v>
      </c>
      <c r="B121" s="5" t="s">
        <v>99</v>
      </c>
      <c r="C121" s="5" t="s">
        <v>124</v>
      </c>
      <c r="D121" s="5">
        <v>2</v>
      </c>
      <c r="E121" s="5">
        <v>7</v>
      </c>
      <c r="F121" s="5">
        <v>1</v>
      </c>
      <c r="G121" s="7">
        <v>45363</v>
      </c>
      <c r="H121" s="5" t="s">
        <v>91</v>
      </c>
      <c r="I121" s="5">
        <v>1</v>
      </c>
      <c r="J121" s="5" t="s">
        <v>69</v>
      </c>
      <c r="K121" s="6">
        <f>IF(J121=[9]Legend!$A$67,[9]Legend!$B$67,(IF(J121=[9]Legend!$A$68,[9]Legend!$B$68,IF(J121=[9]Legend!$A$69, [9]Legend!$B$69, IF(J121=[9]Legend!$A$70, [9]Legend!$B$70, IF(J121=[9]Legend!$A$71, [9]Legend!$B$71, IF(J121=[9]Legend!$A$72, [9]Legend!$B$72, IF(J121=[9]Legend!$A$73, [9]Legend!$B$73, (IF(J121=[9]Legend!$A$74, [9]Legend!$B$74, IF(J121=[9]Legend!$A$75, [9]Legend!$B$75, "")))))))))))</f>
        <v>120</v>
      </c>
      <c r="L121" s="5">
        <v>118</v>
      </c>
      <c r="M121" s="5">
        <v>0</v>
      </c>
      <c r="N121" s="5"/>
      <c r="O121" s="5"/>
    </row>
    <row r="122" spans="1:15" ht="14" customHeight="1" x14ac:dyDescent="0.45">
      <c r="A122" s="7">
        <v>45588</v>
      </c>
      <c r="B122" s="5" t="s">
        <v>99</v>
      </c>
      <c r="C122" s="5" t="s">
        <v>16</v>
      </c>
      <c r="D122" s="5">
        <v>3</v>
      </c>
      <c r="E122" s="5">
        <v>7</v>
      </c>
      <c r="F122" s="5">
        <v>2</v>
      </c>
      <c r="G122" s="7">
        <v>45685</v>
      </c>
      <c r="H122" s="5" t="s">
        <v>91</v>
      </c>
      <c r="I122" s="5">
        <v>1</v>
      </c>
      <c r="J122" s="5" t="s">
        <v>60</v>
      </c>
      <c r="K122" s="6">
        <f>IF(J122=[12]Legend!$A$66,[12]Legend!$B$66,(IF(J122=[12]Legend!$A$67,[12]Legend!$B$67,IF(J122=[12]Legend!$A$68, [12]Legend!$B$68, IF(J122=[12]Legend!$A$69, [12]Legend!$B$69, IF(J122=[12]Legend!$A$70, [12]Legend!$B$70, IF(J122=[12]Legend!$A$71, [12]Legend!$B$71, IF(J122=[12]Legend!$A$72, [12]Legend!$B$72, (IF(J122=[12]Legend!$A$73, [12]Legend!$B$73, IF(J122=[12]Legend!$A$74, [12]Legend!$B$74, "")))))))))))</f>
        <v>25</v>
      </c>
      <c r="L122" s="5">
        <v>25</v>
      </c>
      <c r="M122" s="5">
        <v>0</v>
      </c>
      <c r="N122" s="5"/>
      <c r="O122" s="5"/>
    </row>
    <row r="123" spans="1:15" ht="14" customHeight="1" x14ac:dyDescent="0.45">
      <c r="A123" s="7">
        <v>45588</v>
      </c>
      <c r="B123" s="5" t="s">
        <v>99</v>
      </c>
      <c r="C123" s="5" t="s">
        <v>16</v>
      </c>
      <c r="D123" s="5">
        <v>3</v>
      </c>
      <c r="E123" s="5">
        <v>7</v>
      </c>
      <c r="F123" s="5">
        <v>2</v>
      </c>
      <c r="G123" s="7">
        <v>45685</v>
      </c>
      <c r="H123" s="5" t="s">
        <v>91</v>
      </c>
      <c r="I123" s="5">
        <v>1</v>
      </c>
      <c r="J123" s="5" t="s">
        <v>18</v>
      </c>
      <c r="K123" s="6">
        <f>IF(J123=[12]Legend!$A$66,[12]Legend!$B$66,(IF(J123=[12]Legend!$A$67,[12]Legend!$B$67,IF(J123=[12]Legend!$A$68, [12]Legend!$B$68, IF(J123=[12]Legend!$A$69, [12]Legend!$B$69, IF(J123=[12]Legend!$A$70, [12]Legend!$B$70, IF(J123=[12]Legend!$A$71, [12]Legend!$B$71, IF(J123=[12]Legend!$A$72, [12]Legend!$B$72, (IF(J123=[12]Legend!$A$73, [12]Legend!$B$73, IF(J123=[12]Legend!$A$74, [12]Legend!$B$74, "")))))))))))</f>
        <v>5</v>
      </c>
      <c r="L123" s="5">
        <v>5</v>
      </c>
      <c r="M123" s="5">
        <v>0</v>
      </c>
      <c r="N123" s="5"/>
      <c r="O123" s="5"/>
    </row>
    <row r="124" spans="1:15" ht="14" customHeight="1" x14ac:dyDescent="0.45">
      <c r="A124" s="7">
        <v>45588</v>
      </c>
      <c r="B124" s="5" t="s">
        <v>99</v>
      </c>
      <c r="C124" s="5" t="s">
        <v>16</v>
      </c>
      <c r="D124" s="5">
        <v>3</v>
      </c>
      <c r="E124" s="5">
        <v>7</v>
      </c>
      <c r="F124" s="5">
        <v>2</v>
      </c>
      <c r="G124" s="7">
        <v>45685</v>
      </c>
      <c r="H124" s="5" t="s">
        <v>91</v>
      </c>
      <c r="I124" s="5">
        <v>1</v>
      </c>
      <c r="J124" s="5" t="s">
        <v>69</v>
      </c>
      <c r="K124" s="6">
        <f>IF(J124=[12]Legend!$A$66,[12]Legend!$B$66,(IF(J124=[12]Legend!$A$67,[12]Legend!$B$67,IF(J124=[12]Legend!$A$68, [12]Legend!$B$68, IF(J124=[12]Legend!$A$69, [12]Legend!$B$69, IF(J124=[12]Legend!$A$70, [12]Legend!$B$70, IF(J124=[12]Legend!$A$71, [12]Legend!$B$71, IF(J124=[12]Legend!$A$72, [12]Legend!$B$72, (IF(J124=[12]Legend!$A$73, [12]Legend!$B$73, IF(J124=[12]Legend!$A$74, [12]Legend!$B$74, "")))))))))))</f>
        <v>120</v>
      </c>
      <c r="L124" s="5">
        <v>120</v>
      </c>
      <c r="M124" s="5">
        <v>0</v>
      </c>
      <c r="N124" s="5"/>
      <c r="O124" s="5"/>
    </row>
    <row r="125" spans="1:15" ht="14" customHeight="1" x14ac:dyDescent="0.45">
      <c r="A125" s="7">
        <v>45588</v>
      </c>
      <c r="B125" s="5" t="s">
        <v>99</v>
      </c>
      <c r="C125" s="5" t="s">
        <v>16</v>
      </c>
      <c r="D125" s="5">
        <v>3</v>
      </c>
      <c r="E125" s="5">
        <v>7</v>
      </c>
      <c r="F125" s="5">
        <v>1</v>
      </c>
      <c r="G125" s="7">
        <v>45686</v>
      </c>
      <c r="H125" s="5" t="s">
        <v>91</v>
      </c>
      <c r="I125" s="5">
        <v>1</v>
      </c>
      <c r="J125" s="5" t="s">
        <v>60</v>
      </c>
      <c r="K125" s="6">
        <f>IF(J125=[12]Legend!$A$66,[12]Legend!$B$66,(IF(J125=[12]Legend!$A$67,[12]Legend!$B$67,IF(J125=[12]Legend!$A$68, [12]Legend!$B$68, IF(J125=[12]Legend!$A$69, [12]Legend!$B$69, IF(J125=[12]Legend!$A$70, [12]Legend!$B$70, IF(J125=[12]Legend!$A$71, [12]Legend!$B$71, IF(J125=[12]Legend!$A$72, [12]Legend!$B$72, (IF(J125=[12]Legend!$A$73, [12]Legend!$B$73, IF(J125=[12]Legend!$A$74, [12]Legend!$B$74, "")))))))))))</f>
        <v>25</v>
      </c>
      <c r="L125" s="5">
        <v>26</v>
      </c>
      <c r="M125" s="5">
        <v>0</v>
      </c>
      <c r="N125" s="5"/>
      <c r="O125" s="5"/>
    </row>
    <row r="126" spans="1:15" ht="14" customHeight="1" x14ac:dyDescent="0.45">
      <c r="A126" s="7">
        <v>45588</v>
      </c>
      <c r="B126" s="5" t="s">
        <v>99</v>
      </c>
      <c r="C126" s="5" t="s">
        <v>16</v>
      </c>
      <c r="D126" s="5">
        <v>3</v>
      </c>
      <c r="E126" s="5">
        <v>7</v>
      </c>
      <c r="F126" s="5">
        <v>1</v>
      </c>
      <c r="G126" s="7">
        <v>45686</v>
      </c>
      <c r="H126" s="5" t="s">
        <v>91</v>
      </c>
      <c r="I126" s="5">
        <v>1</v>
      </c>
      <c r="J126" s="5" t="s">
        <v>18</v>
      </c>
      <c r="K126" s="6">
        <f>IF(J126=[12]Legend!$A$66,[12]Legend!$B$66,(IF(J126=[12]Legend!$A$67,[12]Legend!$B$67,IF(J126=[12]Legend!$A$68, [12]Legend!$B$68, IF(J126=[12]Legend!$A$69, [12]Legend!$B$69, IF(J126=[12]Legend!$A$70, [12]Legend!$B$70, IF(J126=[12]Legend!$A$71, [12]Legend!$B$71, IF(J126=[12]Legend!$A$72, [12]Legend!$B$72, (IF(J126=[12]Legend!$A$73, [12]Legend!$B$73, IF(J126=[12]Legend!$A$74, [12]Legend!$B$74, "")))))))))))</f>
        <v>5</v>
      </c>
      <c r="L126" s="5">
        <v>5</v>
      </c>
      <c r="M126" s="5">
        <v>0</v>
      </c>
      <c r="N126" s="5"/>
      <c r="O126" s="5"/>
    </row>
    <row r="127" spans="1:15" ht="14" customHeight="1" x14ac:dyDescent="0.45">
      <c r="A127" s="7">
        <v>45588</v>
      </c>
      <c r="B127" s="5" t="s">
        <v>99</v>
      </c>
      <c r="C127" s="5" t="s">
        <v>16</v>
      </c>
      <c r="D127" s="5">
        <v>3</v>
      </c>
      <c r="E127" s="5">
        <v>7</v>
      </c>
      <c r="F127" s="5">
        <v>1</v>
      </c>
      <c r="G127" s="7">
        <v>45686</v>
      </c>
      <c r="H127" s="5" t="s">
        <v>91</v>
      </c>
      <c r="I127" s="5">
        <v>1</v>
      </c>
      <c r="J127" s="5" t="s">
        <v>69</v>
      </c>
      <c r="K127" s="6">
        <f>IF(J127=[12]Legend!$A$66,[12]Legend!$B$66,(IF(J127=[12]Legend!$A$67,[12]Legend!$B$67,IF(J127=[12]Legend!$A$68, [12]Legend!$B$68, IF(J127=[12]Legend!$A$69, [12]Legend!$B$69, IF(J127=[12]Legend!$A$70, [12]Legend!$B$70, IF(J127=[12]Legend!$A$71, [12]Legend!$B$71, IF(J127=[12]Legend!$A$72, [12]Legend!$B$72, (IF(J127=[12]Legend!$A$73, [12]Legend!$B$73, IF(J127=[12]Legend!$A$74, [12]Legend!$B$74, "")))))))))))</f>
        <v>120</v>
      </c>
      <c r="L127" s="5">
        <v>121</v>
      </c>
      <c r="M127" s="5">
        <v>0</v>
      </c>
      <c r="N127" s="5"/>
      <c r="O127" s="5" t="s">
        <v>154</v>
      </c>
    </row>
    <row r="128" spans="1:15" ht="14" customHeight="1" x14ac:dyDescent="0.45">
      <c r="A128" s="7">
        <v>45574</v>
      </c>
      <c r="B128" s="5" t="s">
        <v>99</v>
      </c>
      <c r="C128" s="5" t="s">
        <v>90</v>
      </c>
      <c r="D128" s="5">
        <v>1</v>
      </c>
      <c r="E128" s="5">
        <v>8</v>
      </c>
      <c r="F128" s="5">
        <v>1</v>
      </c>
      <c r="G128" s="7">
        <v>45672</v>
      </c>
      <c r="H128" s="5" t="s">
        <v>91</v>
      </c>
      <c r="I128" s="5">
        <v>1</v>
      </c>
      <c r="J128" s="5" t="s">
        <v>60</v>
      </c>
      <c r="K128" s="6">
        <f>IF(J128=[8]Legend!$A$66,[8]Legend!$B$66,(IF(J128=[8]Legend!$A$67,[8]Legend!$B$67,IF(J128=[8]Legend!$A$68, [8]Legend!$B$68, IF(J128=[8]Legend!$A$69, [8]Legend!$B$69, IF(J128=[8]Legend!$A$70, [8]Legend!$B$70, IF(J128=[8]Legend!$A$71, [8]Legend!$B$71, IF(J128=[8]Legend!$A$72, [8]Legend!$B$72, (IF(J128=[8]Legend!$A$73, [8]Legend!$B$73, IF(J128=[8]Legend!$A$74, [8]Legend!$B$74, "")))))))))))</f>
        <v>25</v>
      </c>
      <c r="L128" s="5">
        <v>25</v>
      </c>
      <c r="M128" s="5">
        <v>0</v>
      </c>
      <c r="N128" s="5"/>
      <c r="O128" s="5"/>
    </row>
    <row r="129" spans="1:15" ht="14" customHeight="1" x14ac:dyDescent="0.45">
      <c r="A129" s="7">
        <v>45574</v>
      </c>
      <c r="B129" s="5" t="s">
        <v>99</v>
      </c>
      <c r="C129" s="5" t="s">
        <v>90</v>
      </c>
      <c r="D129" s="5">
        <v>1</v>
      </c>
      <c r="E129" s="5">
        <v>8</v>
      </c>
      <c r="F129" s="5">
        <v>1</v>
      </c>
      <c r="G129" s="7">
        <v>45672</v>
      </c>
      <c r="H129" s="5" t="s">
        <v>91</v>
      </c>
      <c r="I129" s="5">
        <v>1</v>
      </c>
      <c r="J129" s="5" t="s">
        <v>18</v>
      </c>
      <c r="K129" s="6">
        <f>IF(J129=[8]Legend!$A$66,[8]Legend!$B$66,(IF(J129=[8]Legend!$A$67,[8]Legend!$B$67,IF(J129=[8]Legend!$A$68, [8]Legend!$B$68, IF(J129=[8]Legend!$A$69, [8]Legend!$B$69, IF(J129=[8]Legend!$A$70, [8]Legend!$B$70, IF(J129=[8]Legend!$A$71, [8]Legend!$B$71, IF(J129=[8]Legend!$A$72, [8]Legend!$B$72, (IF(J129=[8]Legend!$A$73, [8]Legend!$B$73, IF(J129=[8]Legend!$A$74, [8]Legend!$B$74, "")))))))))))</f>
        <v>5</v>
      </c>
      <c r="L129" s="5">
        <v>5</v>
      </c>
      <c r="M129" s="5">
        <v>0</v>
      </c>
      <c r="N129" s="5"/>
      <c r="O129" s="5"/>
    </row>
    <row r="130" spans="1:15" ht="14" customHeight="1" x14ac:dyDescent="0.45">
      <c r="A130" s="7">
        <v>45574</v>
      </c>
      <c r="B130" s="5" t="s">
        <v>99</v>
      </c>
      <c r="C130" s="5" t="s">
        <v>90</v>
      </c>
      <c r="D130" s="5">
        <v>1</v>
      </c>
      <c r="E130" s="5">
        <v>8</v>
      </c>
      <c r="F130" s="5">
        <v>1</v>
      </c>
      <c r="G130" s="7">
        <v>45672</v>
      </c>
      <c r="H130" s="5" t="s">
        <v>91</v>
      </c>
      <c r="I130" s="5">
        <v>1</v>
      </c>
      <c r="J130" s="5" t="s">
        <v>69</v>
      </c>
      <c r="K130" s="6">
        <f>IF(J130=[8]Legend!$A$66,[8]Legend!$B$66,(IF(J130=[8]Legend!$A$67,[8]Legend!$B$67,IF(J130=[8]Legend!$A$68, [8]Legend!$B$68, IF(J130=[8]Legend!$A$69, [8]Legend!$B$69, IF(J130=[8]Legend!$A$70, [8]Legend!$B$70, IF(J130=[8]Legend!$A$71, [8]Legend!$B$71, IF(J130=[8]Legend!$A$72, [8]Legend!$B$72, (IF(J130=[8]Legend!$A$73, [8]Legend!$B$73, IF(J130=[8]Legend!$A$74, [8]Legend!$B$74, "")))))))))))</f>
        <v>120</v>
      </c>
      <c r="L130" s="5">
        <v>122</v>
      </c>
      <c r="M130" s="5">
        <v>2</v>
      </c>
      <c r="N130" s="5" t="s">
        <v>30</v>
      </c>
      <c r="O130" s="5"/>
    </row>
    <row r="131" spans="1:15" ht="14" customHeight="1" x14ac:dyDescent="0.45">
      <c r="A131" s="7">
        <v>45574</v>
      </c>
      <c r="B131" s="5" t="s">
        <v>99</v>
      </c>
      <c r="C131" s="5" t="s">
        <v>90</v>
      </c>
      <c r="D131" s="5">
        <v>1</v>
      </c>
      <c r="E131" s="5">
        <v>8</v>
      </c>
      <c r="F131" s="5">
        <v>2</v>
      </c>
      <c r="G131" s="7">
        <v>45672</v>
      </c>
      <c r="H131" s="5" t="s">
        <v>91</v>
      </c>
      <c r="I131" s="5">
        <v>1</v>
      </c>
      <c r="J131" s="5" t="s">
        <v>60</v>
      </c>
      <c r="K131" s="6">
        <f>IF(J131=[8]Legend!$A$66,[8]Legend!$B$66,(IF(J131=[8]Legend!$A$67,[8]Legend!$B$67,IF(J131=[8]Legend!$A$68, [8]Legend!$B$68, IF(J131=[8]Legend!$A$69, [8]Legend!$B$69, IF(J131=[8]Legend!$A$70, [8]Legend!$B$70, IF(J131=[8]Legend!$A$71, [8]Legend!$B$71, IF(J131=[8]Legend!$A$72, [8]Legend!$B$72, (IF(J131=[8]Legend!$A$73, [8]Legend!$B$73, IF(J131=[8]Legend!$A$74, [8]Legend!$B$74, "")))))))))))</f>
        <v>25</v>
      </c>
      <c r="L131" s="5">
        <v>25</v>
      </c>
      <c r="M131" s="5">
        <v>0</v>
      </c>
      <c r="N131" s="5"/>
      <c r="O131" s="5"/>
    </row>
    <row r="132" spans="1:15" ht="14" customHeight="1" x14ac:dyDescent="0.45">
      <c r="A132" s="7">
        <v>45574</v>
      </c>
      <c r="B132" s="5" t="s">
        <v>99</v>
      </c>
      <c r="C132" s="5" t="s">
        <v>90</v>
      </c>
      <c r="D132" s="5">
        <v>1</v>
      </c>
      <c r="E132" s="5">
        <v>8</v>
      </c>
      <c r="F132" s="5">
        <v>2</v>
      </c>
      <c r="G132" s="7">
        <v>45672</v>
      </c>
      <c r="H132" s="5" t="s">
        <v>91</v>
      </c>
      <c r="I132" s="5">
        <v>1</v>
      </c>
      <c r="J132" s="5" t="s">
        <v>18</v>
      </c>
      <c r="K132" s="6">
        <f>IF(J132=[8]Legend!$A$66,[8]Legend!$B$66,(IF(J132=[8]Legend!$A$67,[8]Legend!$B$67,IF(J132=[8]Legend!$A$68, [8]Legend!$B$68, IF(J132=[8]Legend!$A$69, [8]Legend!$B$69, IF(J132=[8]Legend!$A$70, [8]Legend!$B$70, IF(J132=[8]Legend!$A$71, [8]Legend!$B$71, IF(J132=[8]Legend!$A$72, [8]Legend!$B$72, (IF(J132=[8]Legend!$A$73, [8]Legend!$B$73, IF(J132=[8]Legend!$A$74, [8]Legend!$B$74, "")))))))))))</f>
        <v>5</v>
      </c>
      <c r="L132" s="5">
        <v>5</v>
      </c>
      <c r="M132" s="5">
        <v>0</v>
      </c>
      <c r="N132" s="5"/>
      <c r="O132" s="5"/>
    </row>
    <row r="133" spans="1:15" ht="14" customHeight="1" x14ac:dyDescent="0.45">
      <c r="A133" s="7">
        <v>45574</v>
      </c>
      <c r="B133" s="5" t="s">
        <v>99</v>
      </c>
      <c r="C133" s="5" t="s">
        <v>90</v>
      </c>
      <c r="D133" s="5">
        <v>1</v>
      </c>
      <c r="E133" s="5">
        <v>8</v>
      </c>
      <c r="F133" s="5">
        <v>2</v>
      </c>
      <c r="G133" s="7">
        <v>45672</v>
      </c>
      <c r="H133" s="5" t="s">
        <v>91</v>
      </c>
      <c r="I133" s="5">
        <v>1</v>
      </c>
      <c r="J133" s="5" t="s">
        <v>69</v>
      </c>
      <c r="K133" s="6">
        <f>IF(J133=[8]Legend!$A$66,[8]Legend!$B$66,(IF(J133=[8]Legend!$A$67,[8]Legend!$B$67,IF(J133=[8]Legend!$A$68, [8]Legend!$B$68, IF(J133=[8]Legend!$A$69, [8]Legend!$B$69, IF(J133=[8]Legend!$A$70, [8]Legend!$B$70, IF(J133=[8]Legend!$A$71, [8]Legend!$B$71, IF(J133=[8]Legend!$A$72, [8]Legend!$B$72, (IF(J133=[8]Legend!$A$73, [8]Legend!$B$73, IF(J133=[8]Legend!$A$74, [8]Legend!$B$74, "")))))))))))</f>
        <v>120</v>
      </c>
      <c r="L133" s="5">
        <v>120</v>
      </c>
      <c r="M133" s="5">
        <v>0</v>
      </c>
      <c r="N133" s="5"/>
      <c r="O133" s="5"/>
    </row>
    <row r="134" spans="1:15" ht="14" customHeight="1" x14ac:dyDescent="0.45">
      <c r="A134" s="7">
        <v>45581</v>
      </c>
      <c r="B134" s="5" t="s">
        <v>99</v>
      </c>
      <c r="C134" s="5" t="s">
        <v>124</v>
      </c>
      <c r="D134" s="5">
        <v>2</v>
      </c>
      <c r="E134" s="5">
        <v>8</v>
      </c>
      <c r="F134" s="5">
        <v>1</v>
      </c>
      <c r="G134" s="7">
        <v>45363</v>
      </c>
      <c r="H134" s="5" t="s">
        <v>91</v>
      </c>
      <c r="I134" s="5">
        <v>1</v>
      </c>
      <c r="J134" s="5" t="s">
        <v>60</v>
      </c>
      <c r="K134" s="6">
        <f>IF(J134=[9]Legend!$A$67,[9]Legend!$B$67,(IF(J134=[9]Legend!$A$68,[9]Legend!$B$68,IF(J134=[9]Legend!$A$69, [9]Legend!$B$69, IF(J134=[9]Legend!$A$70, [9]Legend!$B$70, IF(J134=[9]Legend!$A$71, [9]Legend!$B$71, IF(J134=[9]Legend!$A$72, [9]Legend!$B$72, IF(J134=[9]Legend!$A$73, [9]Legend!$B$73, (IF(J134=[9]Legend!$A$74, [9]Legend!$B$74, IF(J134=[9]Legend!$A$75, [9]Legend!$B$75, "")))))))))))</f>
        <v>25</v>
      </c>
      <c r="L134" s="5">
        <v>25</v>
      </c>
      <c r="M134" s="5">
        <v>0</v>
      </c>
      <c r="N134" s="5"/>
      <c r="O134" s="5"/>
    </row>
    <row r="135" spans="1:15" ht="14" customHeight="1" x14ac:dyDescent="0.45">
      <c r="A135" s="7">
        <v>45581</v>
      </c>
      <c r="B135" s="5" t="s">
        <v>99</v>
      </c>
      <c r="C135" s="5" t="s">
        <v>124</v>
      </c>
      <c r="D135" s="5">
        <v>2</v>
      </c>
      <c r="E135" s="5">
        <v>8</v>
      </c>
      <c r="F135" s="5">
        <v>1</v>
      </c>
      <c r="G135" s="7">
        <v>45363</v>
      </c>
      <c r="H135" s="5" t="s">
        <v>91</v>
      </c>
      <c r="I135" s="5">
        <v>1</v>
      </c>
      <c r="J135" s="5" t="s">
        <v>18</v>
      </c>
      <c r="K135" s="6">
        <f>IF(J135=[9]Legend!$A$67,[9]Legend!$B$67,(IF(J135=[9]Legend!$A$68,[9]Legend!$B$68,IF(J135=[9]Legend!$A$69, [9]Legend!$B$69, IF(J135=[9]Legend!$A$70, [9]Legend!$B$70, IF(J135=[9]Legend!$A$71, [9]Legend!$B$71, IF(J135=[9]Legend!$A$72, [9]Legend!$B$72, IF(J135=[9]Legend!$A$73, [9]Legend!$B$73, (IF(J135=[9]Legend!$A$74, [9]Legend!$B$74, IF(J135=[9]Legend!$A$75, [9]Legend!$B$75, "")))))))))))</f>
        <v>5</v>
      </c>
      <c r="L135" s="5">
        <v>5</v>
      </c>
      <c r="M135" s="5">
        <v>0</v>
      </c>
      <c r="N135" s="5"/>
      <c r="O135" s="5"/>
    </row>
    <row r="136" spans="1:15" ht="14" customHeight="1" x14ac:dyDescent="0.45">
      <c r="A136" s="7">
        <v>45581</v>
      </c>
      <c r="B136" s="5" t="s">
        <v>99</v>
      </c>
      <c r="C136" s="5" t="s">
        <v>124</v>
      </c>
      <c r="D136" s="5">
        <v>2</v>
      </c>
      <c r="E136" s="5">
        <v>8</v>
      </c>
      <c r="F136" s="5">
        <v>1</v>
      </c>
      <c r="G136" s="7">
        <v>45363</v>
      </c>
      <c r="H136" s="5" t="s">
        <v>91</v>
      </c>
      <c r="I136" s="5">
        <v>1</v>
      </c>
      <c r="J136" s="5" t="s">
        <v>69</v>
      </c>
      <c r="K136" s="6">
        <f>IF(J136=[9]Legend!$A$67,[9]Legend!$B$67,(IF(J136=[9]Legend!$A$68,[9]Legend!$B$68,IF(J136=[9]Legend!$A$69, [9]Legend!$B$69, IF(J136=[9]Legend!$A$70, [9]Legend!$B$70, IF(J136=[9]Legend!$A$71, [9]Legend!$B$71, IF(J136=[9]Legend!$A$72, [9]Legend!$B$72, IF(J136=[9]Legend!$A$73, [9]Legend!$B$73, (IF(J136=[9]Legend!$A$74, [9]Legend!$B$74, IF(J136=[9]Legend!$A$75, [9]Legend!$B$75, "")))))))))))</f>
        <v>120</v>
      </c>
      <c r="L136" s="5">
        <v>120</v>
      </c>
      <c r="M136" s="5">
        <v>1</v>
      </c>
      <c r="N136" s="5" t="s">
        <v>30</v>
      </c>
      <c r="O136" s="5"/>
    </row>
    <row r="137" spans="1:15" ht="14" customHeight="1" x14ac:dyDescent="0.45">
      <c r="A137" s="7">
        <v>45581</v>
      </c>
      <c r="B137" s="5" t="s">
        <v>99</v>
      </c>
      <c r="C137" s="5" t="s">
        <v>124</v>
      </c>
      <c r="D137" s="5">
        <v>2</v>
      </c>
      <c r="E137" s="5">
        <v>8</v>
      </c>
      <c r="F137" s="5">
        <v>2</v>
      </c>
      <c r="G137" s="7">
        <v>45363</v>
      </c>
      <c r="H137" s="5" t="s">
        <v>91</v>
      </c>
      <c r="I137" s="5">
        <v>1</v>
      </c>
      <c r="J137" s="5" t="s">
        <v>60</v>
      </c>
      <c r="K137" s="6">
        <f>IF(J137=[9]Legend!$A$67,[9]Legend!$B$67,(IF(J137=[9]Legend!$A$68,[9]Legend!$B$68,IF(J137=[9]Legend!$A$69, [9]Legend!$B$69, IF(J137=[9]Legend!$A$70, [9]Legend!$B$70, IF(J137=[9]Legend!$A$71, [9]Legend!$B$71, IF(J137=[9]Legend!$A$72, [9]Legend!$B$72, IF(J137=[9]Legend!$A$73, [9]Legend!$B$73, (IF(J137=[9]Legend!$A$74, [9]Legend!$B$74, IF(J137=[9]Legend!$A$75, [9]Legend!$B$75, "")))))))))))</f>
        <v>25</v>
      </c>
      <c r="L137" s="5">
        <v>25</v>
      </c>
      <c r="M137" s="5">
        <v>0</v>
      </c>
      <c r="N137" s="5"/>
      <c r="O137" s="5"/>
    </row>
    <row r="138" spans="1:15" ht="14" customHeight="1" x14ac:dyDescent="0.45">
      <c r="A138" s="7">
        <v>45581</v>
      </c>
      <c r="B138" s="5" t="s">
        <v>99</v>
      </c>
      <c r="C138" s="5" t="s">
        <v>124</v>
      </c>
      <c r="D138" s="5">
        <v>2</v>
      </c>
      <c r="E138" s="5">
        <v>8</v>
      </c>
      <c r="F138" s="5">
        <v>2</v>
      </c>
      <c r="G138" s="7">
        <v>45363</v>
      </c>
      <c r="H138" s="5" t="s">
        <v>91</v>
      </c>
      <c r="I138" s="5">
        <v>1</v>
      </c>
      <c r="J138" s="5" t="s">
        <v>18</v>
      </c>
      <c r="K138" s="6">
        <f>IF(J138=[9]Legend!$A$67,[9]Legend!$B$67,(IF(J138=[9]Legend!$A$68,[9]Legend!$B$68,IF(J138=[9]Legend!$A$69, [9]Legend!$B$69, IF(J138=[9]Legend!$A$70, [9]Legend!$B$70, IF(J138=[9]Legend!$A$71, [9]Legend!$B$71, IF(J138=[9]Legend!$A$72, [9]Legend!$B$72, IF(J138=[9]Legend!$A$73, [9]Legend!$B$73, (IF(J138=[9]Legend!$A$74, [9]Legend!$B$74, IF(J138=[9]Legend!$A$75, [9]Legend!$B$75, "")))))))))))</f>
        <v>5</v>
      </c>
      <c r="L138" s="5">
        <v>5</v>
      </c>
      <c r="M138" s="5">
        <v>0</v>
      </c>
      <c r="N138" s="5"/>
      <c r="O138" s="5"/>
    </row>
    <row r="139" spans="1:15" ht="14" customHeight="1" x14ac:dyDescent="0.45">
      <c r="A139" s="7">
        <v>45581</v>
      </c>
      <c r="B139" s="5" t="s">
        <v>99</v>
      </c>
      <c r="C139" s="5" t="s">
        <v>124</v>
      </c>
      <c r="D139" s="5">
        <v>2</v>
      </c>
      <c r="E139" s="5">
        <v>8</v>
      </c>
      <c r="F139" s="5">
        <v>2</v>
      </c>
      <c r="G139" s="7">
        <v>45363</v>
      </c>
      <c r="H139" s="5" t="s">
        <v>91</v>
      </c>
      <c r="I139" s="5">
        <v>1</v>
      </c>
      <c r="J139" s="5" t="s">
        <v>69</v>
      </c>
      <c r="K139" s="6">
        <f>IF(J139=[9]Legend!$A$67,[9]Legend!$B$67,(IF(J139=[9]Legend!$A$68,[9]Legend!$B$68,IF(J139=[9]Legend!$A$69, [9]Legend!$B$69, IF(J139=[9]Legend!$A$70, [9]Legend!$B$70, IF(J139=[9]Legend!$A$71, [9]Legend!$B$71, IF(J139=[9]Legend!$A$72, [9]Legend!$B$72, IF(J139=[9]Legend!$A$73, [9]Legend!$B$73, (IF(J139=[9]Legend!$A$74, [9]Legend!$B$74, IF(J139=[9]Legend!$A$75, [9]Legend!$B$75, "")))))))))))</f>
        <v>120</v>
      </c>
      <c r="L139" s="5">
        <v>118</v>
      </c>
      <c r="M139" s="5">
        <v>2</v>
      </c>
      <c r="N139" s="5" t="s">
        <v>23</v>
      </c>
      <c r="O139" s="5"/>
    </row>
    <row r="140" spans="1:15" ht="14" customHeight="1" x14ac:dyDescent="0.45">
      <c r="A140" s="7">
        <v>45588</v>
      </c>
      <c r="B140" s="5" t="s">
        <v>99</v>
      </c>
      <c r="C140" s="5" t="s">
        <v>16</v>
      </c>
      <c r="D140" s="5">
        <v>3</v>
      </c>
      <c r="E140" s="5">
        <v>8</v>
      </c>
      <c r="F140" s="5">
        <v>2</v>
      </c>
      <c r="G140" s="7">
        <v>45684</v>
      </c>
      <c r="H140" s="5" t="s">
        <v>91</v>
      </c>
      <c r="I140" s="5">
        <v>1</v>
      </c>
      <c r="J140" s="5" t="s">
        <v>60</v>
      </c>
      <c r="K140" s="6">
        <f>IF(J140=[12]Legend!$A$66,[12]Legend!$B$66,(IF(J140=[12]Legend!$A$67,[12]Legend!$B$67,IF(J140=[12]Legend!$A$68, [12]Legend!$B$68, IF(J140=[12]Legend!$A$69, [12]Legend!$B$69, IF(J140=[12]Legend!$A$70, [12]Legend!$B$70, IF(J140=[12]Legend!$A$71, [12]Legend!$B$71, IF(J140=[12]Legend!$A$72, [12]Legend!$B$72, (IF(J140=[12]Legend!$A$73, [12]Legend!$B$73, IF(J140=[12]Legend!$A$74, [12]Legend!$B$74, "")))))))))))</f>
        <v>25</v>
      </c>
      <c r="L140" s="5">
        <v>25</v>
      </c>
      <c r="M140" s="5">
        <v>0</v>
      </c>
      <c r="N140" s="5"/>
      <c r="O140" s="5"/>
    </row>
    <row r="141" spans="1:15" ht="14" customHeight="1" x14ac:dyDescent="0.45">
      <c r="A141" s="7">
        <v>45588</v>
      </c>
      <c r="B141" s="5" t="s">
        <v>99</v>
      </c>
      <c r="C141" s="5" t="s">
        <v>16</v>
      </c>
      <c r="D141" s="5">
        <v>3</v>
      </c>
      <c r="E141" s="5">
        <v>8</v>
      </c>
      <c r="F141" s="5">
        <v>2</v>
      </c>
      <c r="G141" s="7">
        <v>45684</v>
      </c>
      <c r="H141" s="5" t="s">
        <v>91</v>
      </c>
      <c r="I141" s="5">
        <v>1</v>
      </c>
      <c r="J141" s="5" t="s">
        <v>18</v>
      </c>
      <c r="K141" s="6">
        <f>IF(J141=[12]Legend!$A$66,[12]Legend!$B$66,(IF(J141=[12]Legend!$A$67,[12]Legend!$B$67,IF(J141=[12]Legend!$A$68, [12]Legend!$B$68, IF(J141=[12]Legend!$A$69, [12]Legend!$B$69, IF(J141=[12]Legend!$A$70, [12]Legend!$B$70, IF(J141=[12]Legend!$A$71, [12]Legend!$B$71, IF(J141=[12]Legend!$A$72, [12]Legend!$B$72, (IF(J141=[12]Legend!$A$73, [12]Legend!$B$73, IF(J141=[12]Legend!$A$74, [12]Legend!$B$74, "")))))))))))</f>
        <v>5</v>
      </c>
      <c r="L141" s="5">
        <v>5</v>
      </c>
      <c r="M141" s="5">
        <v>0</v>
      </c>
      <c r="N141" s="5"/>
      <c r="O141" s="5"/>
    </row>
    <row r="142" spans="1:15" ht="14" customHeight="1" x14ac:dyDescent="0.45">
      <c r="A142" s="7">
        <v>45588</v>
      </c>
      <c r="B142" s="5" t="s">
        <v>99</v>
      </c>
      <c r="C142" s="5" t="s">
        <v>16</v>
      </c>
      <c r="D142" s="5">
        <v>3</v>
      </c>
      <c r="E142" s="5">
        <v>8</v>
      </c>
      <c r="F142" s="5">
        <v>2</v>
      </c>
      <c r="G142" s="7">
        <v>45684</v>
      </c>
      <c r="H142" s="5" t="s">
        <v>91</v>
      </c>
      <c r="I142" s="5">
        <v>1</v>
      </c>
      <c r="J142" s="5" t="s">
        <v>69</v>
      </c>
      <c r="K142" s="6">
        <f>IF(J142=[12]Legend!$A$66,[12]Legend!$B$66,(IF(J142=[12]Legend!$A$67,[12]Legend!$B$67,IF(J142=[12]Legend!$A$68, [12]Legend!$B$68, IF(J142=[12]Legend!$A$69, [12]Legend!$B$69, IF(J142=[12]Legend!$A$70, [12]Legend!$B$70, IF(J142=[12]Legend!$A$71, [12]Legend!$B$71, IF(J142=[12]Legend!$A$72, [12]Legend!$B$72, (IF(J142=[12]Legend!$A$73, [12]Legend!$B$73, IF(J142=[12]Legend!$A$74, [12]Legend!$B$74, "")))))))))))</f>
        <v>120</v>
      </c>
      <c r="L142" s="5">
        <v>120</v>
      </c>
      <c r="M142" s="5">
        <v>3</v>
      </c>
      <c r="N142" s="5" t="s">
        <v>30</v>
      </c>
      <c r="O142" s="5"/>
    </row>
    <row r="143" spans="1:15" ht="14" customHeight="1" x14ac:dyDescent="0.45">
      <c r="A143" s="7">
        <v>45588</v>
      </c>
      <c r="B143" s="5" t="s">
        <v>99</v>
      </c>
      <c r="C143" s="5" t="s">
        <v>16</v>
      </c>
      <c r="D143" s="5">
        <v>3</v>
      </c>
      <c r="E143" s="5">
        <v>8</v>
      </c>
      <c r="F143" s="5">
        <v>1</v>
      </c>
      <c r="G143" s="7">
        <v>45685</v>
      </c>
      <c r="H143" s="5" t="s">
        <v>91</v>
      </c>
      <c r="I143" s="5">
        <v>1</v>
      </c>
      <c r="J143" s="5" t="s">
        <v>60</v>
      </c>
      <c r="K143" s="6">
        <f>IF(J143=[12]Legend!$A$66,[12]Legend!$B$66,(IF(J143=[12]Legend!$A$67,[12]Legend!$B$67,IF(J143=[12]Legend!$A$68, [12]Legend!$B$68, IF(J143=[12]Legend!$A$69, [12]Legend!$B$69, IF(J143=[12]Legend!$A$70, [12]Legend!$B$70, IF(J143=[12]Legend!$A$71, [12]Legend!$B$71, IF(J143=[12]Legend!$A$72, [12]Legend!$B$72, (IF(J143=[12]Legend!$A$73, [12]Legend!$B$73, IF(J143=[12]Legend!$A$74, [12]Legend!$B$74, "")))))))))))</f>
        <v>25</v>
      </c>
      <c r="L143" s="5">
        <v>25</v>
      </c>
      <c r="M143" s="5">
        <v>0</v>
      </c>
      <c r="N143" s="5"/>
      <c r="O143" s="5"/>
    </row>
    <row r="144" spans="1:15" ht="14" customHeight="1" x14ac:dyDescent="0.45">
      <c r="A144" s="7">
        <v>45588</v>
      </c>
      <c r="B144" s="5" t="s">
        <v>99</v>
      </c>
      <c r="C144" s="5" t="s">
        <v>16</v>
      </c>
      <c r="D144" s="5">
        <v>3</v>
      </c>
      <c r="E144" s="5">
        <v>8</v>
      </c>
      <c r="F144" s="5">
        <v>1</v>
      </c>
      <c r="G144" s="7">
        <v>45685</v>
      </c>
      <c r="H144" s="5" t="s">
        <v>91</v>
      </c>
      <c r="I144" s="5">
        <v>1</v>
      </c>
      <c r="J144" s="5" t="s">
        <v>18</v>
      </c>
      <c r="K144" s="6">
        <f>IF(J144=[12]Legend!$A$66,[12]Legend!$B$66,(IF(J144=[12]Legend!$A$67,[12]Legend!$B$67,IF(J144=[12]Legend!$A$68, [12]Legend!$B$68, IF(J144=[12]Legend!$A$69, [12]Legend!$B$69, IF(J144=[12]Legend!$A$70, [12]Legend!$B$70, IF(J144=[12]Legend!$A$71, [12]Legend!$B$71, IF(J144=[12]Legend!$A$72, [12]Legend!$B$72, (IF(J144=[12]Legend!$A$73, [12]Legend!$B$73, IF(J144=[12]Legend!$A$74, [12]Legend!$B$74, "")))))))))))</f>
        <v>5</v>
      </c>
      <c r="L144" s="5">
        <v>5</v>
      </c>
      <c r="M144" s="5">
        <v>0</v>
      </c>
      <c r="N144" s="5"/>
      <c r="O144" s="5"/>
    </row>
    <row r="145" spans="1:15" ht="14" customHeight="1" x14ac:dyDescent="0.45">
      <c r="A145" s="7">
        <v>45588</v>
      </c>
      <c r="B145" s="5" t="s">
        <v>99</v>
      </c>
      <c r="C145" s="5" t="s">
        <v>16</v>
      </c>
      <c r="D145" s="5">
        <v>3</v>
      </c>
      <c r="E145" s="5">
        <v>8</v>
      </c>
      <c r="F145" s="5">
        <v>1</v>
      </c>
      <c r="G145" s="7">
        <v>45685</v>
      </c>
      <c r="H145" s="5" t="s">
        <v>91</v>
      </c>
      <c r="I145" s="5">
        <v>1</v>
      </c>
      <c r="J145" s="5" t="s">
        <v>69</v>
      </c>
      <c r="K145" s="6">
        <f>IF(J145=[12]Legend!$A$66,[12]Legend!$B$66,(IF(J145=[12]Legend!$A$67,[12]Legend!$B$67,IF(J145=[12]Legend!$A$68, [12]Legend!$B$68, IF(J145=[12]Legend!$A$69, [12]Legend!$B$69, IF(J145=[12]Legend!$A$70, [12]Legend!$B$70, IF(J145=[12]Legend!$A$71, [12]Legend!$B$71, IF(J145=[12]Legend!$A$72, [12]Legend!$B$72, (IF(J145=[12]Legend!$A$73, [12]Legend!$B$73, IF(J145=[12]Legend!$A$74, [12]Legend!$B$74, "")))))))))))</f>
        <v>120</v>
      </c>
      <c r="L145" s="5">
        <v>118</v>
      </c>
      <c r="M145" s="5">
        <v>1</v>
      </c>
      <c r="N145" s="5" t="s">
        <v>23</v>
      </c>
      <c r="O145" s="5"/>
    </row>
    <row r="146" spans="1:15" ht="14" customHeight="1" x14ac:dyDescent="0.45">
      <c r="A146" s="7">
        <v>45574</v>
      </c>
      <c r="B146" s="5" t="s">
        <v>99</v>
      </c>
      <c r="C146" s="5" t="s">
        <v>90</v>
      </c>
      <c r="D146" s="5">
        <v>1</v>
      </c>
      <c r="E146" s="5">
        <v>9</v>
      </c>
      <c r="F146" s="5">
        <v>2</v>
      </c>
      <c r="G146" s="7">
        <v>45672</v>
      </c>
      <c r="H146" s="5" t="s">
        <v>91</v>
      </c>
      <c r="I146" s="5">
        <v>1</v>
      </c>
      <c r="J146" s="5" t="s">
        <v>60</v>
      </c>
      <c r="K146" s="6">
        <f>IF(J146=[8]Legend!$A$66,[8]Legend!$B$66,(IF(J146=[8]Legend!$A$67,[8]Legend!$B$67,IF(J146=[8]Legend!$A$68, [8]Legend!$B$68, IF(J146=[8]Legend!$A$69, [8]Legend!$B$69, IF(J146=[8]Legend!$A$70, [8]Legend!$B$70, IF(J146=[8]Legend!$A$71, [8]Legend!$B$71, IF(J146=[8]Legend!$A$72, [8]Legend!$B$72, (IF(J146=[8]Legend!$A$73, [8]Legend!$B$73, IF(J146=[8]Legend!$A$74, [8]Legend!$B$74, "")))))))))))</f>
        <v>25</v>
      </c>
      <c r="L146" s="5">
        <v>25</v>
      </c>
      <c r="M146" s="5">
        <v>0</v>
      </c>
      <c r="N146" s="5"/>
      <c r="O146" s="5"/>
    </row>
    <row r="147" spans="1:15" ht="14" customHeight="1" x14ac:dyDescent="0.45">
      <c r="A147" s="7">
        <v>45574</v>
      </c>
      <c r="B147" s="5" t="s">
        <v>99</v>
      </c>
      <c r="C147" s="5" t="s">
        <v>90</v>
      </c>
      <c r="D147" s="5">
        <v>1</v>
      </c>
      <c r="E147" s="5">
        <v>9</v>
      </c>
      <c r="F147" s="5">
        <v>2</v>
      </c>
      <c r="G147" s="7">
        <v>45672</v>
      </c>
      <c r="H147" s="5" t="s">
        <v>91</v>
      </c>
      <c r="I147" s="5">
        <v>1</v>
      </c>
      <c r="J147" s="5" t="s">
        <v>18</v>
      </c>
      <c r="K147" s="6">
        <f>IF(J147=[8]Legend!$A$66,[8]Legend!$B$66,(IF(J147=[8]Legend!$A$67,[8]Legend!$B$67,IF(J147=[8]Legend!$A$68, [8]Legend!$B$68, IF(J147=[8]Legend!$A$69, [8]Legend!$B$69, IF(J147=[8]Legend!$A$70, [8]Legend!$B$70, IF(J147=[8]Legend!$A$71, [8]Legend!$B$71, IF(J147=[8]Legend!$A$72, [8]Legend!$B$72, (IF(J147=[8]Legend!$A$73, [8]Legend!$B$73, IF(J147=[8]Legend!$A$74, [8]Legend!$B$74, "")))))))))))</f>
        <v>5</v>
      </c>
      <c r="L147" s="5">
        <v>5</v>
      </c>
      <c r="M147" s="5">
        <v>0</v>
      </c>
      <c r="N147" s="5"/>
      <c r="O147" s="5"/>
    </row>
    <row r="148" spans="1:15" ht="14" customHeight="1" x14ac:dyDescent="0.45">
      <c r="A148" s="7">
        <v>45574</v>
      </c>
      <c r="B148" s="5" t="s">
        <v>99</v>
      </c>
      <c r="C148" s="5" t="s">
        <v>90</v>
      </c>
      <c r="D148" s="5">
        <v>1</v>
      </c>
      <c r="E148" s="5">
        <v>9</v>
      </c>
      <c r="F148" s="5">
        <v>2</v>
      </c>
      <c r="G148" s="7">
        <v>45672</v>
      </c>
      <c r="H148" s="5" t="s">
        <v>91</v>
      </c>
      <c r="I148" s="5">
        <v>1</v>
      </c>
      <c r="J148" s="5" t="s">
        <v>69</v>
      </c>
      <c r="K148" s="6">
        <f>IF(J148=[8]Legend!$A$66,[8]Legend!$B$66,(IF(J148=[8]Legend!$A$67,[8]Legend!$B$67,IF(J148=[8]Legend!$A$68, [8]Legend!$B$68, IF(J148=[8]Legend!$A$69, [8]Legend!$B$69, IF(J148=[8]Legend!$A$70, [8]Legend!$B$70, IF(J148=[8]Legend!$A$71, [8]Legend!$B$71, IF(J148=[8]Legend!$A$72, [8]Legend!$B$72, (IF(J148=[8]Legend!$A$73, [8]Legend!$B$73, IF(J148=[8]Legend!$A$74, [8]Legend!$B$74, "")))))))))))</f>
        <v>120</v>
      </c>
      <c r="L148" s="5">
        <v>120</v>
      </c>
      <c r="M148" s="5">
        <v>1</v>
      </c>
      <c r="N148" s="5" t="s">
        <v>30</v>
      </c>
      <c r="O148" s="5"/>
    </row>
    <row r="149" spans="1:15" ht="14" customHeight="1" x14ac:dyDescent="0.45">
      <c r="A149" s="7">
        <v>45574</v>
      </c>
      <c r="B149" s="5" t="s">
        <v>99</v>
      </c>
      <c r="C149" s="5" t="s">
        <v>90</v>
      </c>
      <c r="D149" s="5">
        <v>1</v>
      </c>
      <c r="E149" s="5">
        <v>9</v>
      </c>
      <c r="F149" s="5">
        <v>1</v>
      </c>
      <c r="G149" s="7">
        <v>45673</v>
      </c>
      <c r="H149" s="5" t="s">
        <v>91</v>
      </c>
      <c r="I149" s="5">
        <v>1</v>
      </c>
      <c r="J149" s="5" t="s">
        <v>60</v>
      </c>
      <c r="K149" s="6">
        <f>IF(J149=[8]Legend!$A$66,[8]Legend!$B$66,(IF(J149=[8]Legend!$A$67,[8]Legend!$B$67,IF(J149=[8]Legend!$A$68, [8]Legend!$B$68, IF(J149=[8]Legend!$A$69, [8]Legend!$B$69, IF(J149=[8]Legend!$A$70, [8]Legend!$B$70, IF(J149=[8]Legend!$A$71, [8]Legend!$B$71, IF(J149=[8]Legend!$A$72, [8]Legend!$B$72, (IF(J149=[8]Legend!$A$73, [8]Legend!$B$73, IF(J149=[8]Legend!$A$74, [8]Legend!$B$74, "")))))))))))</f>
        <v>25</v>
      </c>
      <c r="L149" s="5">
        <v>25</v>
      </c>
      <c r="M149" s="5">
        <v>0</v>
      </c>
      <c r="N149" s="5"/>
      <c r="O149" s="5"/>
    </row>
    <row r="150" spans="1:15" ht="14" customHeight="1" x14ac:dyDescent="0.45">
      <c r="A150" s="7">
        <v>45574</v>
      </c>
      <c r="B150" s="5" t="s">
        <v>99</v>
      </c>
      <c r="C150" s="5" t="s">
        <v>90</v>
      </c>
      <c r="D150" s="5">
        <v>1</v>
      </c>
      <c r="E150" s="5">
        <v>9</v>
      </c>
      <c r="F150" s="5">
        <v>1</v>
      </c>
      <c r="G150" s="7">
        <v>45673</v>
      </c>
      <c r="H150" s="5" t="s">
        <v>91</v>
      </c>
      <c r="I150" s="5">
        <v>1</v>
      </c>
      <c r="J150" s="5" t="s">
        <v>18</v>
      </c>
      <c r="K150" s="6">
        <f>IF(J150=[8]Legend!$A$66,[8]Legend!$B$66,(IF(J150=[8]Legend!$A$67,[8]Legend!$B$67,IF(J150=[8]Legend!$A$68, [8]Legend!$B$68, IF(J150=[8]Legend!$A$69, [8]Legend!$B$69, IF(J150=[8]Legend!$A$70, [8]Legend!$B$70, IF(J150=[8]Legend!$A$71, [8]Legend!$B$71, IF(J150=[8]Legend!$A$72, [8]Legend!$B$72, (IF(J150=[8]Legend!$A$73, [8]Legend!$B$73, IF(J150=[8]Legend!$A$74, [8]Legend!$B$74, "")))))))))))</f>
        <v>5</v>
      </c>
      <c r="L150" s="5">
        <v>0</v>
      </c>
      <c r="M150" s="5">
        <v>0</v>
      </c>
      <c r="N150" s="5"/>
      <c r="O150" s="5" t="s">
        <v>123</v>
      </c>
    </row>
    <row r="151" spans="1:15" ht="14" customHeight="1" x14ac:dyDescent="0.45">
      <c r="A151" s="7">
        <v>45574</v>
      </c>
      <c r="B151" s="5" t="s">
        <v>99</v>
      </c>
      <c r="C151" s="5" t="s">
        <v>90</v>
      </c>
      <c r="D151" s="5">
        <v>1</v>
      </c>
      <c r="E151" s="5">
        <v>9</v>
      </c>
      <c r="F151" s="5">
        <v>1</v>
      </c>
      <c r="G151" s="7">
        <v>45673</v>
      </c>
      <c r="H151" s="5" t="s">
        <v>91</v>
      </c>
      <c r="I151" s="5">
        <v>1</v>
      </c>
      <c r="J151" s="5" t="s">
        <v>69</v>
      </c>
      <c r="K151" s="6">
        <f>IF(J151=[8]Legend!$A$66,[8]Legend!$B$66,(IF(J151=[8]Legend!$A$67,[8]Legend!$B$67,IF(J151=[8]Legend!$A$68, [8]Legend!$B$68, IF(J151=[8]Legend!$A$69, [8]Legend!$B$69, IF(J151=[8]Legend!$A$70, [8]Legend!$B$70, IF(J151=[8]Legend!$A$71, [8]Legend!$B$71, IF(J151=[8]Legend!$A$72, [8]Legend!$B$72, (IF(J151=[8]Legend!$A$73, [8]Legend!$B$73, IF(J151=[8]Legend!$A$74, [8]Legend!$B$74, "")))))))))))</f>
        <v>120</v>
      </c>
      <c r="L151" s="5">
        <v>55</v>
      </c>
      <c r="M151" s="5">
        <v>7</v>
      </c>
      <c r="N151" s="5" t="s">
        <v>23</v>
      </c>
      <c r="O151" s="5"/>
    </row>
    <row r="152" spans="1:15" ht="14" customHeight="1" x14ac:dyDescent="0.45">
      <c r="A152" s="7">
        <v>45581</v>
      </c>
      <c r="B152" s="5" t="s">
        <v>99</v>
      </c>
      <c r="C152" s="5" t="s">
        <v>124</v>
      </c>
      <c r="D152" s="5">
        <v>2</v>
      </c>
      <c r="E152" s="5">
        <v>9</v>
      </c>
      <c r="F152" s="5">
        <v>2</v>
      </c>
      <c r="G152" s="7">
        <v>45362</v>
      </c>
      <c r="H152" s="5" t="s">
        <v>91</v>
      </c>
      <c r="I152" s="5">
        <v>1</v>
      </c>
      <c r="J152" s="5" t="s">
        <v>60</v>
      </c>
      <c r="K152" s="6">
        <f>IF(J152=[9]Legend!$A$67,[9]Legend!$B$67,(IF(J152=[9]Legend!$A$68,[9]Legend!$B$68,IF(J152=[9]Legend!$A$69, [9]Legend!$B$69, IF(J152=[9]Legend!$A$70, [9]Legend!$B$70, IF(J152=[9]Legend!$A$71, [9]Legend!$B$71, IF(J152=[9]Legend!$A$72, [9]Legend!$B$72, IF(J152=[9]Legend!$A$73, [9]Legend!$B$73, (IF(J152=[9]Legend!$A$74, [9]Legend!$B$74, IF(J152=[9]Legend!$A$75, [9]Legend!$B$75, "")))))))))))</f>
        <v>25</v>
      </c>
      <c r="L152" s="5">
        <v>25</v>
      </c>
      <c r="M152" s="5">
        <v>0</v>
      </c>
      <c r="N152" s="5"/>
      <c r="O152" s="5"/>
    </row>
    <row r="153" spans="1:15" ht="14" customHeight="1" x14ac:dyDescent="0.45">
      <c r="A153" s="7">
        <v>45581</v>
      </c>
      <c r="B153" s="5" t="s">
        <v>99</v>
      </c>
      <c r="C153" s="5" t="s">
        <v>124</v>
      </c>
      <c r="D153" s="5">
        <v>2</v>
      </c>
      <c r="E153" s="5">
        <v>9</v>
      </c>
      <c r="F153" s="5">
        <v>2</v>
      </c>
      <c r="G153" s="7">
        <v>45362</v>
      </c>
      <c r="H153" s="5" t="s">
        <v>91</v>
      </c>
      <c r="I153" s="5">
        <v>1</v>
      </c>
      <c r="J153" s="5" t="s">
        <v>18</v>
      </c>
      <c r="K153" s="6">
        <f>IF(J153=[9]Legend!$A$67,[9]Legend!$B$67,(IF(J153=[9]Legend!$A$68,[9]Legend!$B$68,IF(J153=[9]Legend!$A$69, [9]Legend!$B$69, IF(J153=[9]Legend!$A$70, [9]Legend!$B$70, IF(J153=[9]Legend!$A$71, [9]Legend!$B$71, IF(J153=[9]Legend!$A$72, [9]Legend!$B$72, IF(J153=[9]Legend!$A$73, [9]Legend!$B$73, (IF(J153=[9]Legend!$A$74, [9]Legend!$B$74, IF(J153=[9]Legend!$A$75, [9]Legend!$B$75, "")))))))))))</f>
        <v>5</v>
      </c>
      <c r="L153" s="5">
        <v>5</v>
      </c>
      <c r="M153" s="5">
        <v>0</v>
      </c>
      <c r="N153" s="5"/>
      <c r="O153" s="5"/>
    </row>
    <row r="154" spans="1:15" ht="14" customHeight="1" x14ac:dyDescent="0.45">
      <c r="A154" s="7">
        <v>45581</v>
      </c>
      <c r="B154" s="5" t="s">
        <v>99</v>
      </c>
      <c r="C154" s="5" t="s">
        <v>124</v>
      </c>
      <c r="D154" s="5">
        <v>2</v>
      </c>
      <c r="E154" s="5">
        <v>9</v>
      </c>
      <c r="F154" s="5">
        <v>2</v>
      </c>
      <c r="G154" s="7">
        <v>45362</v>
      </c>
      <c r="H154" s="5" t="s">
        <v>91</v>
      </c>
      <c r="I154" s="5">
        <v>1</v>
      </c>
      <c r="J154" s="5" t="s">
        <v>69</v>
      </c>
      <c r="K154" s="6">
        <f>IF(J154=[9]Legend!$A$67,[9]Legend!$B$67,(IF(J154=[9]Legend!$A$68,[9]Legend!$B$68,IF(J154=[9]Legend!$A$69, [9]Legend!$B$69, IF(J154=[9]Legend!$A$70, [9]Legend!$B$70, IF(J154=[9]Legend!$A$71, [9]Legend!$B$71, IF(J154=[9]Legend!$A$72, [9]Legend!$B$72, IF(J154=[9]Legend!$A$73, [9]Legend!$B$73, (IF(J154=[9]Legend!$A$74, [9]Legend!$B$74, IF(J154=[9]Legend!$A$75, [9]Legend!$B$75, "")))))))))))</f>
        <v>120</v>
      </c>
      <c r="L154" s="5">
        <v>25</v>
      </c>
      <c r="M154" s="5">
        <v>0</v>
      </c>
      <c r="N154" s="5"/>
      <c r="O154" s="5"/>
    </row>
    <row r="155" spans="1:15" ht="14" customHeight="1" x14ac:dyDescent="0.45">
      <c r="A155" s="7">
        <v>45581</v>
      </c>
      <c r="B155" s="5" t="s">
        <v>99</v>
      </c>
      <c r="C155" s="5" t="s">
        <v>124</v>
      </c>
      <c r="D155" s="5">
        <v>2</v>
      </c>
      <c r="E155" s="5">
        <v>9</v>
      </c>
      <c r="F155" s="5">
        <v>1</v>
      </c>
      <c r="G155" s="7">
        <v>45734</v>
      </c>
      <c r="H155" s="5" t="s">
        <v>91</v>
      </c>
      <c r="I155" s="5">
        <v>1</v>
      </c>
      <c r="J155" s="5" t="s">
        <v>60</v>
      </c>
      <c r="K155" s="6">
        <f>IF(J155=[9]Legend!$A$67,[9]Legend!$B$67,(IF(J155=[9]Legend!$A$68,[9]Legend!$B$68,IF(J155=[9]Legend!$A$69, [9]Legend!$B$69, IF(J155=[9]Legend!$A$70, [9]Legend!$B$70, IF(J155=[9]Legend!$A$71, [9]Legend!$B$71, IF(J155=[9]Legend!$A$72, [9]Legend!$B$72, IF(J155=[9]Legend!$A$73, [9]Legend!$B$73, (IF(J155=[9]Legend!$A$74, [9]Legend!$B$74, IF(J155=[9]Legend!$A$75, [9]Legend!$B$75, "")))))))))))</f>
        <v>25</v>
      </c>
      <c r="L155" s="5">
        <v>25</v>
      </c>
      <c r="M155" s="5">
        <v>0</v>
      </c>
      <c r="N155" s="5"/>
      <c r="O155" s="5"/>
    </row>
    <row r="156" spans="1:15" ht="14" customHeight="1" x14ac:dyDescent="0.45">
      <c r="A156" s="7">
        <v>45581</v>
      </c>
      <c r="B156" s="5" t="s">
        <v>99</v>
      </c>
      <c r="C156" s="5" t="s">
        <v>124</v>
      </c>
      <c r="D156" s="5">
        <v>2</v>
      </c>
      <c r="E156" s="5">
        <v>9</v>
      </c>
      <c r="F156" s="5">
        <v>1</v>
      </c>
      <c r="G156" s="7">
        <v>45734</v>
      </c>
      <c r="H156" s="5" t="s">
        <v>91</v>
      </c>
      <c r="I156" s="5">
        <v>1</v>
      </c>
      <c r="J156" s="5" t="s">
        <v>18</v>
      </c>
      <c r="K156" s="6">
        <f>IF(J156=[9]Legend!$A$67,[9]Legend!$B$67,(IF(J156=[9]Legend!$A$68,[9]Legend!$B$68,IF(J156=[9]Legend!$A$69, [9]Legend!$B$69, IF(J156=[9]Legend!$A$70, [9]Legend!$B$70, IF(J156=[9]Legend!$A$71, [9]Legend!$B$71, IF(J156=[9]Legend!$A$72, [9]Legend!$B$72, IF(J156=[9]Legend!$A$73, [9]Legend!$B$73, (IF(J156=[9]Legend!$A$74, [9]Legend!$B$74, IF(J156=[9]Legend!$A$75, [9]Legend!$B$75, "")))))))))))</f>
        <v>5</v>
      </c>
      <c r="L156" s="5">
        <v>5</v>
      </c>
      <c r="M156" s="5">
        <v>0</v>
      </c>
      <c r="N156" s="5"/>
      <c r="O156" s="5"/>
    </row>
    <row r="157" spans="1:15" ht="14" customHeight="1" x14ac:dyDescent="0.45">
      <c r="A157" s="7">
        <v>45581</v>
      </c>
      <c r="B157" s="5" t="s">
        <v>99</v>
      </c>
      <c r="C157" s="5" t="s">
        <v>124</v>
      </c>
      <c r="D157" s="5">
        <v>2</v>
      </c>
      <c r="E157" s="5">
        <v>9</v>
      </c>
      <c r="F157" s="5">
        <v>1</v>
      </c>
      <c r="G157" s="7">
        <v>45734</v>
      </c>
      <c r="H157" s="5" t="s">
        <v>91</v>
      </c>
      <c r="I157" s="5">
        <v>1</v>
      </c>
      <c r="J157" s="5" t="s">
        <v>69</v>
      </c>
      <c r="K157" s="6">
        <f>IF(J157=[9]Legend!$A$67,[9]Legend!$B$67,(IF(J157=[9]Legend!$A$68,[9]Legend!$B$68,IF(J157=[9]Legend!$A$69, [9]Legend!$B$69, IF(J157=[9]Legend!$A$70, [9]Legend!$B$70, IF(J157=[9]Legend!$A$71, [9]Legend!$B$71, IF(J157=[9]Legend!$A$72, [9]Legend!$B$72, IF(J157=[9]Legend!$A$73, [9]Legend!$B$73, (IF(J157=[9]Legend!$A$74, [9]Legend!$B$74, IF(J157=[9]Legend!$A$75, [9]Legend!$B$75, "")))))))))))</f>
        <v>120</v>
      </c>
      <c r="L157" s="5">
        <v>122</v>
      </c>
      <c r="M157" s="5">
        <v>1</v>
      </c>
      <c r="N157" s="5" t="s">
        <v>30</v>
      </c>
      <c r="O157" s="5"/>
    </row>
    <row r="158" spans="1:15" ht="14" customHeight="1" x14ac:dyDescent="0.45">
      <c r="A158" s="7">
        <v>45588</v>
      </c>
      <c r="B158" s="5" t="s">
        <v>99</v>
      </c>
      <c r="C158" s="5" t="s">
        <v>16</v>
      </c>
      <c r="D158" s="5">
        <v>3</v>
      </c>
      <c r="E158" s="5">
        <v>9</v>
      </c>
      <c r="F158" s="5">
        <v>1</v>
      </c>
      <c r="G158" s="7">
        <v>45685</v>
      </c>
      <c r="H158" s="5" t="s">
        <v>91</v>
      </c>
      <c r="I158" s="5">
        <v>1</v>
      </c>
      <c r="J158" s="5" t="s">
        <v>60</v>
      </c>
      <c r="K158" s="6">
        <f>IF(J158=[12]Legend!$A$66,[12]Legend!$B$66,(IF(J158=[12]Legend!$A$67,[12]Legend!$B$67,IF(J158=[12]Legend!$A$68, [12]Legend!$B$68, IF(J158=[12]Legend!$A$69, [12]Legend!$B$69, IF(J158=[12]Legend!$A$70, [12]Legend!$B$70, IF(J158=[12]Legend!$A$71, [12]Legend!$B$71, IF(J158=[12]Legend!$A$72, [12]Legend!$B$72, (IF(J158=[12]Legend!$A$73, [12]Legend!$B$73, IF(J158=[12]Legend!$A$74, [12]Legend!$B$74, "")))))))))))</f>
        <v>25</v>
      </c>
      <c r="L158" s="5">
        <v>25</v>
      </c>
      <c r="M158" s="5">
        <v>0</v>
      </c>
      <c r="N158" s="5"/>
      <c r="O158" s="5"/>
    </row>
    <row r="159" spans="1:15" ht="14" customHeight="1" x14ac:dyDescent="0.45">
      <c r="A159" s="7">
        <v>45588</v>
      </c>
      <c r="B159" s="5" t="s">
        <v>99</v>
      </c>
      <c r="C159" s="5" t="s">
        <v>16</v>
      </c>
      <c r="D159" s="5">
        <v>3</v>
      </c>
      <c r="E159" s="5">
        <v>9</v>
      </c>
      <c r="F159" s="5">
        <v>1</v>
      </c>
      <c r="G159" s="7">
        <v>45685</v>
      </c>
      <c r="H159" s="5" t="s">
        <v>91</v>
      </c>
      <c r="I159" s="5">
        <v>1</v>
      </c>
      <c r="J159" s="5" t="s">
        <v>18</v>
      </c>
      <c r="K159" s="6">
        <f>IF(J159=[12]Legend!$A$66,[12]Legend!$B$66,(IF(J159=[12]Legend!$A$67,[12]Legend!$B$67,IF(J159=[12]Legend!$A$68, [12]Legend!$B$68, IF(J159=[12]Legend!$A$69, [12]Legend!$B$69, IF(J159=[12]Legend!$A$70, [12]Legend!$B$70, IF(J159=[12]Legend!$A$71, [12]Legend!$B$71, IF(J159=[12]Legend!$A$72, [12]Legend!$B$72, (IF(J159=[12]Legend!$A$73, [12]Legend!$B$73, IF(J159=[12]Legend!$A$74, [12]Legend!$B$74, "")))))))))))</f>
        <v>5</v>
      </c>
      <c r="L159" s="5">
        <v>5</v>
      </c>
      <c r="M159" s="5">
        <v>0</v>
      </c>
      <c r="N159" s="5"/>
      <c r="O159" s="5"/>
    </row>
    <row r="160" spans="1:15" ht="14" customHeight="1" x14ac:dyDescent="0.45">
      <c r="A160" s="7">
        <v>45588</v>
      </c>
      <c r="B160" s="5" t="s">
        <v>99</v>
      </c>
      <c r="C160" s="5" t="s">
        <v>16</v>
      </c>
      <c r="D160" s="5">
        <v>3</v>
      </c>
      <c r="E160" s="5">
        <v>9</v>
      </c>
      <c r="F160" s="5">
        <v>1</v>
      </c>
      <c r="G160" s="7">
        <v>45685</v>
      </c>
      <c r="H160" s="5" t="s">
        <v>91</v>
      </c>
      <c r="I160" s="5">
        <v>1</v>
      </c>
      <c r="J160" s="5" t="s">
        <v>69</v>
      </c>
      <c r="K160" s="6">
        <f>IF(J160=[12]Legend!$A$66,[12]Legend!$B$66,(IF(J160=[12]Legend!$A$67,[12]Legend!$B$67,IF(J160=[12]Legend!$A$68, [12]Legend!$B$68, IF(J160=[12]Legend!$A$69, [12]Legend!$B$69, IF(J160=[12]Legend!$A$70, [12]Legend!$B$70, IF(J160=[12]Legend!$A$71, [12]Legend!$B$71, IF(J160=[12]Legend!$A$72, [12]Legend!$B$72, (IF(J160=[12]Legend!$A$73, [12]Legend!$B$73, IF(J160=[12]Legend!$A$74, [12]Legend!$B$74, "")))))))))))</f>
        <v>120</v>
      </c>
      <c r="L160" s="5">
        <v>120</v>
      </c>
      <c r="M160" s="5">
        <v>0</v>
      </c>
      <c r="N160" s="5"/>
      <c r="O160" s="5"/>
    </row>
    <row r="161" spans="1:15" ht="14" customHeight="1" x14ac:dyDescent="0.45">
      <c r="A161" s="7">
        <v>45588</v>
      </c>
      <c r="B161" s="5" t="s">
        <v>99</v>
      </c>
      <c r="C161" s="5" t="s">
        <v>16</v>
      </c>
      <c r="D161" s="5">
        <v>3</v>
      </c>
      <c r="E161" s="5">
        <v>9</v>
      </c>
      <c r="F161" s="5">
        <v>2</v>
      </c>
      <c r="G161" s="7">
        <v>45686</v>
      </c>
      <c r="H161" s="5" t="s">
        <v>91</v>
      </c>
      <c r="I161" s="5">
        <v>1</v>
      </c>
      <c r="J161" s="5" t="s">
        <v>60</v>
      </c>
      <c r="K161" s="6">
        <f>IF(J161=[12]Legend!$A$66,[12]Legend!$B$66,(IF(J161=[12]Legend!$A$67,[12]Legend!$B$67,IF(J161=[12]Legend!$A$68, [12]Legend!$B$68, IF(J161=[12]Legend!$A$69, [12]Legend!$B$69, IF(J161=[12]Legend!$A$70, [12]Legend!$B$70, IF(J161=[12]Legend!$A$71, [12]Legend!$B$71, IF(J161=[12]Legend!$A$72, [12]Legend!$B$72, (IF(J161=[12]Legend!$A$73, [12]Legend!$B$73, IF(J161=[12]Legend!$A$74, [12]Legend!$B$74, "")))))))))))</f>
        <v>25</v>
      </c>
      <c r="L161" s="5">
        <v>25</v>
      </c>
      <c r="M161" s="5">
        <v>0</v>
      </c>
      <c r="N161" s="5"/>
      <c r="O161" s="5"/>
    </row>
    <row r="162" spans="1:15" ht="14" customHeight="1" x14ac:dyDescent="0.45">
      <c r="A162" s="7">
        <v>45588</v>
      </c>
      <c r="B162" s="5" t="s">
        <v>99</v>
      </c>
      <c r="C162" s="5" t="s">
        <v>16</v>
      </c>
      <c r="D162" s="5">
        <v>3</v>
      </c>
      <c r="E162" s="5">
        <v>9</v>
      </c>
      <c r="F162" s="5">
        <v>2</v>
      </c>
      <c r="G162" s="7">
        <v>45686</v>
      </c>
      <c r="H162" s="5" t="s">
        <v>91</v>
      </c>
      <c r="I162" s="5">
        <v>1</v>
      </c>
      <c r="J162" s="5" t="s">
        <v>18</v>
      </c>
      <c r="K162" s="6">
        <f>IF(J162=[12]Legend!$A$66,[12]Legend!$B$66,(IF(J162=[12]Legend!$A$67,[12]Legend!$B$67,IF(J162=[12]Legend!$A$68, [12]Legend!$B$68, IF(J162=[12]Legend!$A$69, [12]Legend!$B$69, IF(J162=[12]Legend!$A$70, [12]Legend!$B$70, IF(J162=[12]Legend!$A$71, [12]Legend!$B$71, IF(J162=[12]Legend!$A$72, [12]Legend!$B$72, (IF(J162=[12]Legend!$A$73, [12]Legend!$B$73, IF(J162=[12]Legend!$A$74, [12]Legend!$B$74, "")))))))))))</f>
        <v>5</v>
      </c>
      <c r="L162" s="5">
        <v>5</v>
      </c>
      <c r="M162" s="5">
        <v>0</v>
      </c>
      <c r="N162" s="5"/>
      <c r="O162" s="5"/>
    </row>
    <row r="163" spans="1:15" ht="14" customHeight="1" x14ac:dyDescent="0.45">
      <c r="A163" s="7">
        <v>45588</v>
      </c>
      <c r="B163" s="5" t="s">
        <v>99</v>
      </c>
      <c r="C163" s="5" t="s">
        <v>16</v>
      </c>
      <c r="D163" s="5">
        <v>3</v>
      </c>
      <c r="E163" s="5">
        <v>9</v>
      </c>
      <c r="F163" s="5">
        <v>2</v>
      </c>
      <c r="G163" s="7">
        <v>45686</v>
      </c>
      <c r="H163" s="5" t="s">
        <v>91</v>
      </c>
      <c r="I163" s="5">
        <v>1</v>
      </c>
      <c r="J163" s="5" t="s">
        <v>69</v>
      </c>
      <c r="K163" s="6">
        <f>IF(J163=[12]Legend!$A$66,[12]Legend!$B$66,(IF(J163=[12]Legend!$A$67,[12]Legend!$B$67,IF(J163=[12]Legend!$A$68, [12]Legend!$B$68, IF(J163=[12]Legend!$A$69, [12]Legend!$B$69, IF(J163=[12]Legend!$A$70, [12]Legend!$B$70, IF(J163=[12]Legend!$A$71, [12]Legend!$B$71, IF(J163=[12]Legend!$A$72, [12]Legend!$B$72, (IF(J163=[12]Legend!$A$73, [12]Legend!$B$73, IF(J163=[12]Legend!$A$74, [12]Legend!$B$74, "")))))))))))</f>
        <v>120</v>
      </c>
      <c r="L163" s="5">
        <v>120</v>
      </c>
      <c r="M163" s="5">
        <v>0</v>
      </c>
      <c r="N163" s="5"/>
      <c r="O163" s="5"/>
    </row>
    <row r="164" spans="1:15" ht="14" customHeight="1" x14ac:dyDescent="0.45">
      <c r="A164" s="7">
        <v>45574</v>
      </c>
      <c r="B164" s="5" t="s">
        <v>99</v>
      </c>
      <c r="C164" s="5" t="s">
        <v>90</v>
      </c>
      <c r="D164" s="5">
        <v>1</v>
      </c>
      <c r="E164" s="5">
        <v>10</v>
      </c>
      <c r="F164" s="5">
        <v>1</v>
      </c>
      <c r="G164" s="7">
        <v>45672</v>
      </c>
      <c r="H164" s="5" t="s">
        <v>91</v>
      </c>
      <c r="I164" s="5">
        <v>1</v>
      </c>
      <c r="J164" s="5" t="s">
        <v>60</v>
      </c>
      <c r="K164" s="6">
        <f>IF(J164=[8]Legend!$A$66,[8]Legend!$B$66,(IF(J164=[8]Legend!$A$67,[8]Legend!$B$67,IF(J164=[8]Legend!$A$68, [8]Legend!$B$68, IF(J164=[8]Legend!$A$69, [8]Legend!$B$69, IF(J164=[8]Legend!$A$70, [8]Legend!$B$70, IF(J164=[8]Legend!$A$71, [8]Legend!$B$71, IF(J164=[8]Legend!$A$72, [8]Legend!$B$72, (IF(J164=[8]Legend!$A$73, [8]Legend!$B$73, IF(J164=[8]Legend!$A$74, [8]Legend!$B$74, "")))))))))))</f>
        <v>25</v>
      </c>
      <c r="L164" s="5">
        <v>25</v>
      </c>
      <c r="M164" s="5">
        <v>1</v>
      </c>
      <c r="N164" s="5" t="s">
        <v>21</v>
      </c>
      <c r="O164" s="5"/>
    </row>
    <row r="165" spans="1:15" ht="14" customHeight="1" x14ac:dyDescent="0.45">
      <c r="A165" s="7">
        <v>45574</v>
      </c>
      <c r="B165" s="5" t="s">
        <v>99</v>
      </c>
      <c r="C165" s="5" t="s">
        <v>90</v>
      </c>
      <c r="D165" s="5">
        <v>1</v>
      </c>
      <c r="E165" s="5">
        <v>10</v>
      </c>
      <c r="F165" s="5">
        <v>1</v>
      </c>
      <c r="G165" s="7">
        <v>45672</v>
      </c>
      <c r="H165" s="5" t="s">
        <v>91</v>
      </c>
      <c r="I165" s="5">
        <v>1</v>
      </c>
      <c r="J165" s="5" t="s">
        <v>18</v>
      </c>
      <c r="K165" s="6">
        <f>IF(J165=[8]Legend!$A$66,[8]Legend!$B$66,(IF(J165=[8]Legend!$A$67,[8]Legend!$B$67,IF(J165=[8]Legend!$A$68, [8]Legend!$B$68, IF(J165=[8]Legend!$A$69, [8]Legend!$B$69, IF(J165=[8]Legend!$A$70, [8]Legend!$B$70, IF(J165=[8]Legend!$A$71, [8]Legend!$B$71, IF(J165=[8]Legend!$A$72, [8]Legend!$B$72, (IF(J165=[8]Legend!$A$73, [8]Legend!$B$73, IF(J165=[8]Legend!$A$74, [8]Legend!$B$74, "")))))))))))</f>
        <v>5</v>
      </c>
      <c r="L165" s="5">
        <v>5</v>
      </c>
      <c r="M165" s="5">
        <v>0</v>
      </c>
      <c r="N165" s="5"/>
      <c r="O165" s="5"/>
    </row>
    <row r="166" spans="1:15" ht="14" customHeight="1" x14ac:dyDescent="0.45">
      <c r="A166" s="7">
        <v>45574</v>
      </c>
      <c r="B166" s="5" t="s">
        <v>99</v>
      </c>
      <c r="C166" s="5" t="s">
        <v>90</v>
      </c>
      <c r="D166" s="5">
        <v>1</v>
      </c>
      <c r="E166" s="5">
        <v>10</v>
      </c>
      <c r="F166" s="5">
        <v>1</v>
      </c>
      <c r="G166" s="7">
        <v>45672</v>
      </c>
      <c r="H166" s="5" t="s">
        <v>91</v>
      </c>
      <c r="I166" s="5">
        <v>1</v>
      </c>
      <c r="J166" s="5" t="s">
        <v>69</v>
      </c>
      <c r="K166" s="6">
        <f>IF(J166=[8]Legend!$A$66,[8]Legend!$B$66,(IF(J166=[8]Legend!$A$67,[8]Legend!$B$67,IF(J166=[8]Legend!$A$68, [8]Legend!$B$68, IF(J166=[8]Legend!$A$69, [8]Legend!$B$69, IF(J166=[8]Legend!$A$70, [8]Legend!$B$70, IF(J166=[8]Legend!$A$71, [8]Legend!$B$71, IF(J166=[8]Legend!$A$72, [8]Legend!$B$72, (IF(J166=[8]Legend!$A$73, [8]Legend!$B$73, IF(J166=[8]Legend!$A$74, [8]Legend!$B$74, "")))))))))))</f>
        <v>120</v>
      </c>
      <c r="L166" s="5">
        <v>120</v>
      </c>
      <c r="M166" s="5">
        <v>1</v>
      </c>
      <c r="N166" s="5" t="s">
        <v>21</v>
      </c>
      <c r="O166" s="5"/>
    </row>
    <row r="167" spans="1:15" ht="14" customHeight="1" x14ac:dyDescent="0.45">
      <c r="A167" s="7">
        <v>45574</v>
      </c>
      <c r="B167" s="5" t="s">
        <v>99</v>
      </c>
      <c r="C167" s="5" t="s">
        <v>90</v>
      </c>
      <c r="D167" s="5">
        <v>1</v>
      </c>
      <c r="E167" s="5">
        <v>10</v>
      </c>
      <c r="F167" s="5">
        <v>2</v>
      </c>
      <c r="G167" s="7">
        <v>45673</v>
      </c>
      <c r="H167" s="5" t="s">
        <v>91</v>
      </c>
      <c r="I167" s="5">
        <v>1</v>
      </c>
      <c r="J167" s="5" t="s">
        <v>60</v>
      </c>
      <c r="K167" s="6">
        <f>IF(J167=[8]Legend!$A$66,[8]Legend!$B$66,(IF(J167=[8]Legend!$A$67,[8]Legend!$B$67,IF(J167=[8]Legend!$A$68, [8]Legend!$B$68, IF(J167=[8]Legend!$A$69, [8]Legend!$B$69, IF(J167=[8]Legend!$A$70, [8]Legend!$B$70, IF(J167=[8]Legend!$A$71, [8]Legend!$B$71, IF(J167=[8]Legend!$A$72, [8]Legend!$B$72, (IF(J167=[8]Legend!$A$73, [8]Legend!$B$73, IF(J167=[8]Legend!$A$74, [8]Legend!$B$74, "")))))))))))</f>
        <v>25</v>
      </c>
      <c r="L167" s="5">
        <v>25</v>
      </c>
      <c r="M167" s="5">
        <v>0</v>
      </c>
      <c r="N167" s="5"/>
      <c r="O167" s="5"/>
    </row>
    <row r="168" spans="1:15" ht="14" customHeight="1" x14ac:dyDescent="0.45">
      <c r="A168" s="7">
        <v>45574</v>
      </c>
      <c r="B168" s="5" t="s">
        <v>99</v>
      </c>
      <c r="C168" s="5" t="s">
        <v>90</v>
      </c>
      <c r="D168" s="5">
        <v>1</v>
      </c>
      <c r="E168" s="5">
        <v>10</v>
      </c>
      <c r="F168" s="5">
        <v>2</v>
      </c>
      <c r="G168" s="7">
        <v>45673</v>
      </c>
      <c r="H168" s="5" t="s">
        <v>91</v>
      </c>
      <c r="I168" s="5">
        <v>1</v>
      </c>
      <c r="J168" s="5" t="s">
        <v>18</v>
      </c>
      <c r="K168" s="6">
        <f>IF(J168=[8]Legend!$A$66,[8]Legend!$B$66,(IF(J168=[8]Legend!$A$67,[8]Legend!$B$67,IF(J168=[8]Legend!$A$68, [8]Legend!$B$68, IF(J168=[8]Legend!$A$69, [8]Legend!$B$69, IF(J168=[8]Legend!$A$70, [8]Legend!$B$70, IF(J168=[8]Legend!$A$71, [8]Legend!$B$71, IF(J168=[8]Legend!$A$72, [8]Legend!$B$72, (IF(J168=[8]Legend!$A$73, [8]Legend!$B$73, IF(J168=[8]Legend!$A$74, [8]Legend!$B$74, "")))))))))))</f>
        <v>5</v>
      </c>
      <c r="L168" s="5">
        <v>5</v>
      </c>
      <c r="M168" s="5">
        <v>0</v>
      </c>
      <c r="N168" s="5"/>
      <c r="O168" s="5"/>
    </row>
    <row r="169" spans="1:15" ht="14" customHeight="1" x14ac:dyDescent="0.45">
      <c r="A169" s="7">
        <v>45574</v>
      </c>
      <c r="B169" s="5" t="s">
        <v>99</v>
      </c>
      <c r="C169" s="5" t="s">
        <v>90</v>
      </c>
      <c r="D169" s="5">
        <v>1</v>
      </c>
      <c r="E169" s="5">
        <v>10</v>
      </c>
      <c r="F169" s="5">
        <v>2</v>
      </c>
      <c r="G169" s="7">
        <v>45673</v>
      </c>
      <c r="H169" s="5" t="s">
        <v>91</v>
      </c>
      <c r="I169" s="5">
        <v>1</v>
      </c>
      <c r="J169" s="5" t="s">
        <v>69</v>
      </c>
      <c r="K169" s="6">
        <f>IF(J169=[8]Legend!$A$66,[8]Legend!$B$66,(IF(J169=[8]Legend!$A$67,[8]Legend!$B$67,IF(J169=[8]Legend!$A$68, [8]Legend!$B$68, IF(J169=[8]Legend!$A$69, [8]Legend!$B$69, IF(J169=[8]Legend!$A$70, [8]Legend!$B$70, IF(J169=[8]Legend!$A$71, [8]Legend!$B$71, IF(J169=[8]Legend!$A$72, [8]Legend!$B$72, (IF(J169=[8]Legend!$A$73, [8]Legend!$B$73, IF(J169=[8]Legend!$A$74, [8]Legend!$B$74, "")))))))))))</f>
        <v>120</v>
      </c>
      <c r="L169" s="5">
        <v>120</v>
      </c>
      <c r="M169" s="5">
        <v>0</v>
      </c>
      <c r="N169" s="5"/>
      <c r="O169" s="5"/>
    </row>
    <row r="170" spans="1:15" ht="14" customHeight="1" x14ac:dyDescent="0.45">
      <c r="A170" s="7">
        <v>45581</v>
      </c>
      <c r="B170" s="5" t="s">
        <v>99</v>
      </c>
      <c r="C170" s="5" t="s">
        <v>124</v>
      </c>
      <c r="D170" s="5">
        <v>2</v>
      </c>
      <c r="E170" s="5">
        <v>10</v>
      </c>
      <c r="F170" s="5">
        <v>2</v>
      </c>
      <c r="G170" s="7">
        <v>45363</v>
      </c>
      <c r="H170" s="5" t="s">
        <v>91</v>
      </c>
      <c r="I170" s="5">
        <v>1</v>
      </c>
      <c r="J170" s="5" t="s">
        <v>60</v>
      </c>
      <c r="K170" s="6">
        <f>IF(J170=[9]Legend!$A$67,[9]Legend!$B$67,(IF(J170=[9]Legend!$A$68,[9]Legend!$B$68,IF(J170=[9]Legend!$A$69, [9]Legend!$B$69, IF(J170=[9]Legend!$A$70, [9]Legend!$B$70, IF(J170=[9]Legend!$A$71, [9]Legend!$B$71, IF(J170=[9]Legend!$A$72, [9]Legend!$B$72, IF(J170=[9]Legend!$A$73, [9]Legend!$B$73, (IF(J170=[9]Legend!$A$74, [9]Legend!$B$74, IF(J170=[9]Legend!$A$75, [9]Legend!$B$75, "")))))))))))</f>
        <v>25</v>
      </c>
      <c r="L170" s="5">
        <v>25</v>
      </c>
      <c r="M170" s="5">
        <v>0</v>
      </c>
      <c r="N170" s="5"/>
      <c r="O170" s="5"/>
    </row>
    <row r="171" spans="1:15" ht="14" customHeight="1" x14ac:dyDescent="0.45">
      <c r="A171" s="7">
        <v>45581</v>
      </c>
      <c r="B171" s="5" t="s">
        <v>99</v>
      </c>
      <c r="C171" s="5" t="s">
        <v>124</v>
      </c>
      <c r="D171" s="5">
        <v>2</v>
      </c>
      <c r="E171" s="5">
        <v>10</v>
      </c>
      <c r="F171" s="5">
        <v>2</v>
      </c>
      <c r="G171" s="7">
        <v>45363</v>
      </c>
      <c r="H171" s="5" t="s">
        <v>91</v>
      </c>
      <c r="I171" s="5">
        <v>1</v>
      </c>
      <c r="J171" s="5" t="s">
        <v>18</v>
      </c>
      <c r="K171" s="6">
        <f>IF(J171=[9]Legend!$A$67,[9]Legend!$B$67,(IF(J171=[9]Legend!$A$68,[9]Legend!$B$68,IF(J171=[9]Legend!$A$69, [9]Legend!$B$69, IF(J171=[9]Legend!$A$70, [9]Legend!$B$70, IF(J171=[9]Legend!$A$71, [9]Legend!$B$71, IF(J171=[9]Legend!$A$72, [9]Legend!$B$72, IF(J171=[9]Legend!$A$73, [9]Legend!$B$73, (IF(J171=[9]Legend!$A$74, [9]Legend!$B$74, IF(J171=[9]Legend!$A$75, [9]Legend!$B$75, "")))))))))))</f>
        <v>5</v>
      </c>
      <c r="L171" s="5">
        <v>6</v>
      </c>
      <c r="M171" s="5">
        <v>0</v>
      </c>
      <c r="N171" s="5"/>
      <c r="O171" s="5"/>
    </row>
    <row r="172" spans="1:15" ht="14" customHeight="1" x14ac:dyDescent="0.45">
      <c r="A172" s="7">
        <v>45581</v>
      </c>
      <c r="B172" s="5" t="s">
        <v>99</v>
      </c>
      <c r="C172" s="5" t="s">
        <v>124</v>
      </c>
      <c r="D172" s="5">
        <v>2</v>
      </c>
      <c r="E172" s="5">
        <v>10</v>
      </c>
      <c r="F172" s="5">
        <v>2</v>
      </c>
      <c r="G172" s="7">
        <v>45363</v>
      </c>
      <c r="H172" s="5" t="s">
        <v>91</v>
      </c>
      <c r="I172" s="5">
        <v>1</v>
      </c>
      <c r="J172" s="5" t="s">
        <v>69</v>
      </c>
      <c r="K172" s="6">
        <f>IF(J172=[9]Legend!$A$67,[9]Legend!$B$67,(IF(J172=[9]Legend!$A$68,[9]Legend!$B$68,IF(J172=[9]Legend!$A$69, [9]Legend!$B$69, IF(J172=[9]Legend!$A$70, [9]Legend!$B$70, IF(J172=[9]Legend!$A$71, [9]Legend!$B$71, IF(J172=[9]Legend!$A$72, [9]Legend!$B$72, IF(J172=[9]Legend!$A$73, [9]Legend!$B$73, (IF(J172=[9]Legend!$A$74, [9]Legend!$B$74, IF(J172=[9]Legend!$A$75, [9]Legend!$B$75, "")))))))))))</f>
        <v>120</v>
      </c>
      <c r="L172" s="5">
        <v>120</v>
      </c>
      <c r="M172" s="5">
        <v>2</v>
      </c>
      <c r="N172" s="5" t="s">
        <v>23</v>
      </c>
      <c r="O172" s="5"/>
    </row>
    <row r="173" spans="1:15" ht="14" customHeight="1" x14ac:dyDescent="0.45">
      <c r="A173" s="7">
        <v>45581</v>
      </c>
      <c r="B173" s="5" t="s">
        <v>99</v>
      </c>
      <c r="C173" s="5" t="s">
        <v>124</v>
      </c>
      <c r="D173" s="5">
        <v>2</v>
      </c>
      <c r="E173" s="5">
        <v>10</v>
      </c>
      <c r="F173" s="5">
        <v>1</v>
      </c>
      <c r="G173" s="7">
        <v>45734</v>
      </c>
      <c r="H173" s="5" t="s">
        <v>91</v>
      </c>
      <c r="I173" s="5">
        <v>1</v>
      </c>
      <c r="J173" s="5" t="s">
        <v>60</v>
      </c>
      <c r="K173" s="6">
        <f>IF(J173=[9]Legend!$A$67,[9]Legend!$B$67,(IF(J173=[9]Legend!$A$68,[9]Legend!$B$68,IF(J173=[9]Legend!$A$69, [9]Legend!$B$69, IF(J173=[9]Legend!$A$70, [9]Legend!$B$70, IF(J173=[9]Legend!$A$71, [9]Legend!$B$71, IF(J173=[9]Legend!$A$72, [9]Legend!$B$72, IF(J173=[9]Legend!$A$73, [9]Legend!$B$73, (IF(J173=[9]Legend!$A$74, [9]Legend!$B$74, IF(J173=[9]Legend!$A$75, [9]Legend!$B$75, "")))))))))))</f>
        <v>25</v>
      </c>
      <c r="L173" s="5">
        <v>25</v>
      </c>
      <c r="M173" s="5">
        <v>0</v>
      </c>
      <c r="N173" s="5"/>
      <c r="O173" s="5"/>
    </row>
    <row r="174" spans="1:15" ht="14" customHeight="1" x14ac:dyDescent="0.45">
      <c r="A174" s="7">
        <v>45581</v>
      </c>
      <c r="B174" s="5" t="s">
        <v>99</v>
      </c>
      <c r="C174" s="5" t="s">
        <v>124</v>
      </c>
      <c r="D174" s="5">
        <v>2</v>
      </c>
      <c r="E174" s="5">
        <v>10</v>
      </c>
      <c r="F174" s="5">
        <v>1</v>
      </c>
      <c r="G174" s="7">
        <v>45734</v>
      </c>
      <c r="H174" s="5" t="s">
        <v>91</v>
      </c>
      <c r="I174" s="5">
        <v>1</v>
      </c>
      <c r="J174" s="5" t="s">
        <v>18</v>
      </c>
      <c r="K174" s="6">
        <f>IF(J174=[9]Legend!$A$67,[9]Legend!$B$67,(IF(J174=[9]Legend!$A$68,[9]Legend!$B$68,IF(J174=[9]Legend!$A$69, [9]Legend!$B$69, IF(J174=[9]Legend!$A$70, [9]Legend!$B$70, IF(J174=[9]Legend!$A$71, [9]Legend!$B$71, IF(J174=[9]Legend!$A$72, [9]Legend!$B$72, IF(J174=[9]Legend!$A$73, [9]Legend!$B$73, (IF(J174=[9]Legend!$A$74, [9]Legend!$B$74, IF(J174=[9]Legend!$A$75, [9]Legend!$B$75, "")))))))))))</f>
        <v>5</v>
      </c>
      <c r="L174" s="5">
        <v>5</v>
      </c>
      <c r="M174" s="5">
        <v>0</v>
      </c>
      <c r="N174" s="5"/>
      <c r="O174" s="5"/>
    </row>
    <row r="175" spans="1:15" ht="14" customHeight="1" x14ac:dyDescent="0.45">
      <c r="A175" s="7">
        <v>45581</v>
      </c>
      <c r="B175" s="5" t="s">
        <v>99</v>
      </c>
      <c r="C175" s="5" t="s">
        <v>124</v>
      </c>
      <c r="D175" s="5">
        <v>2</v>
      </c>
      <c r="E175" s="5">
        <v>10</v>
      </c>
      <c r="F175" s="5">
        <v>1</v>
      </c>
      <c r="G175" s="7">
        <v>45734</v>
      </c>
      <c r="H175" s="5" t="s">
        <v>91</v>
      </c>
      <c r="I175" s="5">
        <v>1</v>
      </c>
      <c r="J175" s="5" t="s">
        <v>69</v>
      </c>
      <c r="K175" s="6">
        <f>IF(J175=[9]Legend!$A$67,[9]Legend!$B$67,(IF(J175=[9]Legend!$A$68,[9]Legend!$B$68,IF(J175=[9]Legend!$A$69, [9]Legend!$B$69, IF(J175=[9]Legend!$A$70, [9]Legend!$B$70, IF(J175=[9]Legend!$A$71, [9]Legend!$B$71, IF(J175=[9]Legend!$A$72, [9]Legend!$B$72, IF(J175=[9]Legend!$A$73, [9]Legend!$B$73, (IF(J175=[9]Legend!$A$74, [9]Legend!$B$74, IF(J175=[9]Legend!$A$75, [9]Legend!$B$75, "")))))))))))</f>
        <v>120</v>
      </c>
      <c r="L175" s="5">
        <v>121</v>
      </c>
      <c r="M175" s="5">
        <v>0</v>
      </c>
      <c r="N175" s="5"/>
      <c r="O175" s="5"/>
    </row>
    <row r="176" spans="1:15" ht="14" customHeight="1" x14ac:dyDescent="0.45">
      <c r="A176" s="7">
        <v>45588</v>
      </c>
      <c r="B176" s="5" t="s">
        <v>99</v>
      </c>
      <c r="C176" s="5" t="s">
        <v>16</v>
      </c>
      <c r="D176" s="5">
        <v>3</v>
      </c>
      <c r="E176" s="5">
        <v>10</v>
      </c>
      <c r="F176" s="5">
        <v>2</v>
      </c>
      <c r="G176" s="7">
        <v>45684</v>
      </c>
      <c r="H176" s="5" t="s">
        <v>91</v>
      </c>
      <c r="I176" s="5">
        <v>1</v>
      </c>
      <c r="J176" s="5" t="s">
        <v>60</v>
      </c>
      <c r="K176" s="6">
        <f>IF(J176=[12]Legend!$A$66,[12]Legend!$B$66,(IF(J176=[12]Legend!$A$67,[12]Legend!$B$67,IF(J176=[12]Legend!$A$68, [12]Legend!$B$68, IF(J176=[12]Legend!$A$69, [12]Legend!$B$69, IF(J176=[12]Legend!$A$70, [12]Legend!$B$70, IF(J176=[12]Legend!$A$71, [12]Legend!$B$71, IF(J176=[12]Legend!$A$72, [12]Legend!$B$72, (IF(J176=[12]Legend!$A$73, [12]Legend!$B$73, IF(J176=[12]Legend!$A$74, [12]Legend!$B$74, "")))))))))))</f>
        <v>25</v>
      </c>
      <c r="L176" s="5">
        <v>25</v>
      </c>
      <c r="M176" s="5">
        <v>0</v>
      </c>
      <c r="N176" s="5"/>
      <c r="O176" s="5" t="s">
        <v>152</v>
      </c>
    </row>
    <row r="177" spans="1:15" ht="14" customHeight="1" x14ac:dyDescent="0.45">
      <c r="A177" s="7">
        <v>45588</v>
      </c>
      <c r="B177" s="5" t="s">
        <v>99</v>
      </c>
      <c r="C177" s="5" t="s">
        <v>16</v>
      </c>
      <c r="D177" s="5">
        <v>3</v>
      </c>
      <c r="E177" s="5">
        <v>10</v>
      </c>
      <c r="F177" s="5">
        <v>2</v>
      </c>
      <c r="G177" s="7">
        <v>45684</v>
      </c>
      <c r="H177" s="5" t="s">
        <v>91</v>
      </c>
      <c r="I177" s="5">
        <v>1</v>
      </c>
      <c r="J177" s="5" t="s">
        <v>18</v>
      </c>
      <c r="K177" s="6">
        <f>IF(J177=[12]Legend!$A$66,[12]Legend!$B$66,(IF(J177=[12]Legend!$A$67,[12]Legend!$B$67,IF(J177=[12]Legend!$A$68, [12]Legend!$B$68, IF(J177=[12]Legend!$A$69, [12]Legend!$B$69, IF(J177=[12]Legend!$A$70, [12]Legend!$B$70, IF(J177=[12]Legend!$A$71, [12]Legend!$B$71, IF(J177=[12]Legend!$A$72, [12]Legend!$B$72, (IF(J177=[12]Legend!$A$73, [12]Legend!$B$73, IF(J177=[12]Legend!$A$74, [12]Legend!$B$74, "")))))))))))</f>
        <v>5</v>
      </c>
      <c r="L177" s="5">
        <v>5</v>
      </c>
      <c r="M177" s="5">
        <v>1</v>
      </c>
      <c r="N177" s="5" t="s">
        <v>30</v>
      </c>
      <c r="O177" s="5" t="s">
        <v>152</v>
      </c>
    </row>
    <row r="178" spans="1:15" ht="14" customHeight="1" x14ac:dyDescent="0.45">
      <c r="A178" s="7">
        <v>45588</v>
      </c>
      <c r="B178" s="5" t="s">
        <v>99</v>
      </c>
      <c r="C178" s="5" t="s">
        <v>16</v>
      </c>
      <c r="D178" s="5">
        <v>3</v>
      </c>
      <c r="E178" s="5">
        <v>10</v>
      </c>
      <c r="F178" s="5">
        <v>2</v>
      </c>
      <c r="G178" s="7">
        <v>45684</v>
      </c>
      <c r="H178" s="5" t="s">
        <v>91</v>
      </c>
      <c r="I178" s="5">
        <v>1</v>
      </c>
      <c r="J178" s="5" t="s">
        <v>69</v>
      </c>
      <c r="K178" s="6">
        <f>IF(J178=[12]Legend!$A$66,[12]Legend!$B$66,(IF(J178=[12]Legend!$A$67,[12]Legend!$B$67,IF(J178=[12]Legend!$A$68, [12]Legend!$B$68, IF(J178=[12]Legend!$A$69, [12]Legend!$B$69, IF(J178=[12]Legend!$A$70, [12]Legend!$B$70, IF(J178=[12]Legend!$A$71, [12]Legend!$B$71, IF(J178=[12]Legend!$A$72, [12]Legend!$B$72, (IF(J178=[12]Legend!$A$73, [12]Legend!$B$73, IF(J178=[12]Legend!$A$74, [12]Legend!$B$74, "")))))))))))</f>
        <v>120</v>
      </c>
      <c r="L178" s="5">
        <v>119</v>
      </c>
      <c r="M178" s="5">
        <v>2</v>
      </c>
      <c r="N178" s="5" t="s">
        <v>23</v>
      </c>
      <c r="O178" s="5" t="s">
        <v>152</v>
      </c>
    </row>
    <row r="179" spans="1:15" ht="14" customHeight="1" x14ac:dyDescent="0.45">
      <c r="A179" s="7">
        <v>45588</v>
      </c>
      <c r="B179" s="5" t="s">
        <v>99</v>
      </c>
      <c r="C179" s="5" t="s">
        <v>16</v>
      </c>
      <c r="D179" s="5">
        <v>3</v>
      </c>
      <c r="E179" s="5">
        <v>10</v>
      </c>
      <c r="F179" s="5">
        <v>1</v>
      </c>
      <c r="G179" s="7">
        <v>45684</v>
      </c>
      <c r="H179" s="5" t="s">
        <v>91</v>
      </c>
      <c r="I179" s="5">
        <v>1</v>
      </c>
      <c r="J179" s="5" t="s">
        <v>60</v>
      </c>
      <c r="K179" s="6">
        <f>IF(J179=[12]Legend!$A$66,[12]Legend!$B$66,(IF(J179=[12]Legend!$A$67,[12]Legend!$B$67,IF(J179=[12]Legend!$A$68, [12]Legend!$B$68, IF(J179=[12]Legend!$A$69, [12]Legend!$B$69, IF(J179=[12]Legend!$A$70, [12]Legend!$B$70, IF(J179=[12]Legend!$A$71, [12]Legend!$B$71, IF(J179=[12]Legend!$A$72, [12]Legend!$B$72, (IF(J179=[12]Legend!$A$73, [12]Legend!$B$73, IF(J179=[12]Legend!$A$74, [12]Legend!$B$74, "")))))))))))</f>
        <v>25</v>
      </c>
      <c r="L179" s="5">
        <v>25</v>
      </c>
      <c r="M179" s="5">
        <v>0</v>
      </c>
      <c r="N179" s="5"/>
      <c r="O179" s="5"/>
    </row>
    <row r="180" spans="1:15" ht="14" customHeight="1" x14ac:dyDescent="0.45">
      <c r="A180" s="7">
        <v>45588</v>
      </c>
      <c r="B180" s="5" t="s">
        <v>99</v>
      </c>
      <c r="C180" s="5" t="s">
        <v>16</v>
      </c>
      <c r="D180" s="5">
        <v>3</v>
      </c>
      <c r="E180" s="5">
        <v>10</v>
      </c>
      <c r="F180" s="5">
        <v>1</v>
      </c>
      <c r="G180" s="7">
        <v>45684</v>
      </c>
      <c r="H180" s="5" t="s">
        <v>91</v>
      </c>
      <c r="I180" s="5">
        <v>1</v>
      </c>
      <c r="J180" s="5" t="s">
        <v>18</v>
      </c>
      <c r="K180" s="6">
        <f>IF(J180=[12]Legend!$A$66,[12]Legend!$B$66,(IF(J180=[12]Legend!$A$67,[12]Legend!$B$67,IF(J180=[12]Legend!$A$68, [12]Legend!$B$68, IF(J180=[12]Legend!$A$69, [12]Legend!$B$69, IF(J180=[12]Legend!$A$70, [12]Legend!$B$70, IF(J180=[12]Legend!$A$71, [12]Legend!$B$71, IF(J180=[12]Legend!$A$72, [12]Legend!$B$72, (IF(J180=[12]Legend!$A$73, [12]Legend!$B$73, IF(J180=[12]Legend!$A$74, [12]Legend!$B$74, "")))))))))))</f>
        <v>5</v>
      </c>
      <c r="L180" s="5">
        <v>5</v>
      </c>
      <c r="M180" s="5">
        <v>0</v>
      </c>
      <c r="N180" s="5"/>
      <c r="O180" s="5"/>
    </row>
    <row r="181" spans="1:15" ht="14" customHeight="1" x14ac:dyDescent="0.45">
      <c r="A181" s="7">
        <v>45588</v>
      </c>
      <c r="B181" s="5" t="s">
        <v>99</v>
      </c>
      <c r="C181" s="5" t="s">
        <v>16</v>
      </c>
      <c r="D181" s="5">
        <v>3</v>
      </c>
      <c r="E181" s="5">
        <v>10</v>
      </c>
      <c r="F181" s="5">
        <v>1</v>
      </c>
      <c r="G181" s="7">
        <v>45684</v>
      </c>
      <c r="H181" s="5" t="s">
        <v>91</v>
      </c>
      <c r="I181" s="5">
        <v>1</v>
      </c>
      <c r="J181" s="5" t="s">
        <v>69</v>
      </c>
      <c r="K181" s="6">
        <f>IF(J181=[12]Legend!$A$66,[12]Legend!$B$66,(IF(J181=[12]Legend!$A$67,[12]Legend!$B$67,IF(J181=[12]Legend!$A$68, [12]Legend!$B$68, IF(J181=[12]Legend!$A$69, [12]Legend!$B$69, IF(J181=[12]Legend!$A$70, [12]Legend!$B$70, IF(J181=[12]Legend!$A$71, [12]Legend!$B$71, IF(J181=[12]Legend!$A$72, [12]Legend!$B$72, (IF(J181=[12]Legend!$A$73, [12]Legend!$B$73, IF(J181=[12]Legend!$A$74, [12]Legend!$B$74, "")))))))))))</f>
        <v>120</v>
      </c>
      <c r="L181" s="5">
        <v>118</v>
      </c>
      <c r="M181" s="5">
        <v>0</v>
      </c>
      <c r="N181" s="5"/>
      <c r="O181" s="5"/>
    </row>
  </sheetData>
  <sortState xmlns:xlrd2="http://schemas.microsoft.com/office/spreadsheetml/2017/richdata2" ref="A2:O182">
    <sortCondition ref="E1:E182"/>
  </sortState>
  <dataValidations count="2">
    <dataValidation type="whole" operator="lessThanOrEqual" allowBlank="1" showInputMessage="1" showErrorMessage="1" sqref="M2 M23 M122" xr:uid="{4C77C17F-3787-476D-AF50-11DC8903AAFB}">
      <formula1>K2</formula1>
    </dataValidation>
    <dataValidation type="whole" operator="lessThanOrEqual" allowBlank="1" showInputMessage="1" showErrorMessage="1" sqref="L2 L23 L122" xr:uid="{1227C9D0-0FF5-4449-8B92-48A155BFE8D4}">
      <formula1>K2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8834-A66B-49AA-9F32-556F28ACC01B}">
  <dimension ref="A1:Q181"/>
  <sheetViews>
    <sheetView tabSelected="1" workbookViewId="0">
      <selection activeCell="P23" sqref="P23"/>
    </sheetView>
  </sheetViews>
  <sheetFormatPr baseColWidth="10" defaultRowHeight="14.25" x14ac:dyDescent="0.45"/>
  <sheetData>
    <row r="1" spans="1:17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7" ht="14" customHeight="1" x14ac:dyDescent="0.45">
      <c r="A2" s="32">
        <v>45525</v>
      </c>
      <c r="B2" s="33" t="s">
        <v>85</v>
      </c>
      <c r="C2" s="33" t="s">
        <v>93</v>
      </c>
      <c r="D2" s="33">
        <v>1</v>
      </c>
      <c r="E2" s="33">
        <v>1</v>
      </c>
      <c r="F2" s="33">
        <v>1</v>
      </c>
      <c r="G2" s="32">
        <v>45548</v>
      </c>
      <c r="H2" s="33" t="s">
        <v>43</v>
      </c>
      <c r="I2" s="33">
        <v>1</v>
      </c>
      <c r="J2" s="33" t="s">
        <v>18</v>
      </c>
      <c r="K2" s="34">
        <f>IF(J2=[16]Legend!$A$66,[16]Legend!$B$66,(IF(J2=[16]Legend!$A$67,[16]Legend!$B$67,IF(J2=[16]Legend!$A$68, [16]Legend!$B$68, IF(J2=[16]Legend!$A$69, [16]Legend!$B$69, IF(J2=[16]Legend!$A$70, [16]Legend!$B$70, IF(J2=[16]Legend!$A$71, [16]Legend!$B$71, IF(J2=[16]Legend!$A$72, [16]Legend!$B$72, (IF(J2=[16]Legend!$A$73, [16]Legend!$B$73, IF(J2=[16]Legend!$A$74, [16]Legend!$B$74, "")))))))))))</f>
        <v>5</v>
      </c>
      <c r="L2" s="33">
        <v>5</v>
      </c>
      <c r="M2" s="33"/>
      <c r="N2" s="33"/>
      <c r="O2" s="33"/>
      <c r="Q2" s="26" t="s">
        <v>179</v>
      </c>
    </row>
    <row r="3" spans="1:17" ht="14" customHeight="1" x14ac:dyDescent="0.45">
      <c r="A3" s="32">
        <v>45525</v>
      </c>
      <c r="B3" s="33" t="s">
        <v>85</v>
      </c>
      <c r="C3" s="33" t="s">
        <v>93</v>
      </c>
      <c r="D3" s="33">
        <v>1</v>
      </c>
      <c r="E3" s="33">
        <v>1</v>
      </c>
      <c r="F3" s="33">
        <v>1</v>
      </c>
      <c r="G3" s="32">
        <v>45548</v>
      </c>
      <c r="H3" s="33" t="s">
        <v>43</v>
      </c>
      <c r="I3" s="33">
        <v>1</v>
      </c>
      <c r="J3" s="33" t="s">
        <v>60</v>
      </c>
      <c r="K3" s="34">
        <f>IF(J3=[16]Legend!$A$66,[16]Legend!$B$66,(IF(J3=[16]Legend!$A$67,[16]Legend!$B$67,IF(J3=[16]Legend!$A$68, [16]Legend!$B$68, IF(J3=[16]Legend!$A$69, [16]Legend!$B$69, IF(J3=[16]Legend!$A$70, [16]Legend!$B$70, IF(J3=[16]Legend!$A$71, [16]Legend!$B$71, IF(J3=[16]Legend!$A$72, [16]Legend!$B$72, (IF(J3=[16]Legend!$A$73, [16]Legend!$B$73, IF(J3=[16]Legend!$A$74, [16]Legend!$B$74, "")))))))))))</f>
        <v>25</v>
      </c>
      <c r="L3" s="33">
        <v>25</v>
      </c>
      <c r="M3" s="33"/>
      <c r="N3" s="33"/>
      <c r="O3" s="33"/>
    </row>
    <row r="4" spans="1:17" ht="14" customHeight="1" x14ac:dyDescent="0.45">
      <c r="A4" s="32">
        <v>45525</v>
      </c>
      <c r="B4" s="33" t="s">
        <v>85</v>
      </c>
      <c r="C4" s="33" t="s">
        <v>93</v>
      </c>
      <c r="D4" s="33">
        <v>1</v>
      </c>
      <c r="E4" s="33">
        <v>1</v>
      </c>
      <c r="F4" s="33">
        <v>1</v>
      </c>
      <c r="G4" s="32">
        <v>45548</v>
      </c>
      <c r="H4" s="33" t="s">
        <v>43</v>
      </c>
      <c r="I4" s="33">
        <v>1</v>
      </c>
      <c r="J4" s="33" t="s">
        <v>69</v>
      </c>
      <c r="K4" s="34">
        <f>IF(J4=[16]Legend!$A$66,[16]Legend!$B$66,(IF(J4=[16]Legend!$A$67,[16]Legend!$B$67,IF(J4=[16]Legend!$A$68, [16]Legend!$B$68, IF(J4=[16]Legend!$A$69, [16]Legend!$B$69, IF(J4=[16]Legend!$A$70, [16]Legend!$B$70, IF(J4=[16]Legend!$A$71, [16]Legend!$B$71, IF(J4=[16]Legend!$A$72, [16]Legend!$B$72, (IF(J4=[16]Legend!$A$73, [16]Legend!$B$73, IF(J4=[16]Legend!$A$74, [16]Legend!$B$74, "")))))))))))</f>
        <v>120</v>
      </c>
      <c r="L4" s="33">
        <v>120</v>
      </c>
      <c r="M4" s="33"/>
      <c r="N4" s="33"/>
      <c r="O4" s="33"/>
    </row>
    <row r="5" spans="1:17" ht="14" customHeight="1" x14ac:dyDescent="0.45">
      <c r="A5" s="32">
        <v>45525</v>
      </c>
      <c r="B5" s="33" t="s">
        <v>85</v>
      </c>
      <c r="C5" s="33" t="s">
        <v>93</v>
      </c>
      <c r="D5" s="33">
        <v>1</v>
      </c>
      <c r="E5" s="33">
        <v>1</v>
      </c>
      <c r="F5" s="33">
        <v>2</v>
      </c>
      <c r="G5" s="32">
        <v>45548</v>
      </c>
      <c r="H5" s="33" t="s">
        <v>43</v>
      </c>
      <c r="I5" s="33">
        <v>1</v>
      </c>
      <c r="J5" s="33" t="s">
        <v>18</v>
      </c>
      <c r="K5" s="34">
        <f>IF(J5=[16]Legend!$A$66,[16]Legend!$B$66,(IF(J5=[16]Legend!$A$67,[16]Legend!$B$67,IF(J5=[16]Legend!$A$68, [16]Legend!$B$68, IF(J5=[16]Legend!$A$69, [16]Legend!$B$69, IF(J5=[16]Legend!$A$70, [16]Legend!$B$70, IF(J5=[16]Legend!$A$71, [16]Legend!$B$71, IF(J5=[16]Legend!$A$72, [16]Legend!$B$72, (IF(J5=[16]Legend!$A$73, [16]Legend!$B$73, IF(J5=[16]Legend!$A$74, [16]Legend!$B$74, "")))))))))))</f>
        <v>5</v>
      </c>
      <c r="L5" s="33">
        <v>5</v>
      </c>
      <c r="M5" s="33"/>
      <c r="N5" s="33"/>
      <c r="O5" s="33"/>
    </row>
    <row r="6" spans="1:17" ht="14" customHeight="1" x14ac:dyDescent="0.45">
      <c r="A6" s="32">
        <v>45525</v>
      </c>
      <c r="B6" s="33" t="s">
        <v>85</v>
      </c>
      <c r="C6" s="33" t="s">
        <v>93</v>
      </c>
      <c r="D6" s="33">
        <v>1</v>
      </c>
      <c r="E6" s="33">
        <v>1</v>
      </c>
      <c r="F6" s="33">
        <v>2</v>
      </c>
      <c r="G6" s="32">
        <v>45548</v>
      </c>
      <c r="H6" s="33" t="s">
        <v>43</v>
      </c>
      <c r="I6" s="33">
        <v>1</v>
      </c>
      <c r="J6" s="33" t="s">
        <v>60</v>
      </c>
      <c r="K6" s="34">
        <f>IF(J6=[16]Legend!$A$66,[16]Legend!$B$66,(IF(J6=[16]Legend!$A$67,[16]Legend!$B$67,IF(J6=[16]Legend!$A$68, [16]Legend!$B$68, IF(J6=[16]Legend!$A$69, [16]Legend!$B$69, IF(J6=[16]Legend!$A$70, [16]Legend!$B$70, IF(J6=[16]Legend!$A$71, [16]Legend!$B$71, IF(J6=[16]Legend!$A$72, [16]Legend!$B$72, (IF(J6=[16]Legend!$A$73, [16]Legend!$B$73, IF(J6=[16]Legend!$A$74, [16]Legend!$B$74, "")))))))))))</f>
        <v>25</v>
      </c>
      <c r="L6" s="33">
        <v>25</v>
      </c>
      <c r="M6" s="33"/>
      <c r="N6" s="33"/>
      <c r="O6" s="33"/>
    </row>
    <row r="7" spans="1:17" ht="14" customHeight="1" x14ac:dyDescent="0.45">
      <c r="A7" s="32">
        <v>45525</v>
      </c>
      <c r="B7" s="33" t="s">
        <v>85</v>
      </c>
      <c r="C7" s="33" t="s">
        <v>93</v>
      </c>
      <c r="D7" s="33">
        <v>1</v>
      </c>
      <c r="E7" s="33">
        <v>1</v>
      </c>
      <c r="F7" s="33">
        <v>2</v>
      </c>
      <c r="G7" s="32">
        <v>45548</v>
      </c>
      <c r="H7" s="33" t="s">
        <v>43</v>
      </c>
      <c r="I7" s="33">
        <v>1</v>
      </c>
      <c r="J7" s="33" t="s">
        <v>69</v>
      </c>
      <c r="K7" s="34">
        <f>IF(J7=[16]Legend!$A$66,[16]Legend!$B$66,(IF(J7=[16]Legend!$A$67,[16]Legend!$B$67,IF(J7=[16]Legend!$A$68, [16]Legend!$B$68, IF(J7=[16]Legend!$A$69, [16]Legend!$B$69, IF(J7=[16]Legend!$A$70, [16]Legend!$B$70, IF(J7=[16]Legend!$A$71, [16]Legend!$B$71, IF(J7=[16]Legend!$A$72, [16]Legend!$B$72, (IF(J7=[16]Legend!$A$73, [16]Legend!$B$73, IF(J7=[16]Legend!$A$74, [16]Legend!$B$74, "")))))))))))</f>
        <v>120</v>
      </c>
      <c r="L7" s="33">
        <v>120</v>
      </c>
      <c r="M7" s="33"/>
      <c r="N7" s="33"/>
      <c r="O7" s="33"/>
    </row>
    <row r="8" spans="1:17" ht="14" customHeight="1" x14ac:dyDescent="0.45">
      <c r="A8" s="35">
        <v>45532</v>
      </c>
      <c r="B8" s="36" t="s">
        <v>85</v>
      </c>
      <c r="C8" s="36" t="s">
        <v>90</v>
      </c>
      <c r="D8" s="36">
        <v>2</v>
      </c>
      <c r="E8" s="36">
        <v>1</v>
      </c>
      <c r="F8" s="36">
        <v>1</v>
      </c>
      <c r="G8" s="35">
        <v>45560</v>
      </c>
      <c r="H8" s="36" t="s">
        <v>43</v>
      </c>
      <c r="I8" s="36">
        <v>1</v>
      </c>
      <c r="J8" s="37" t="s">
        <v>18</v>
      </c>
      <c r="K8" s="34">
        <f>IF(J8=[5]Legend!$A$66,[5]Legend!$B$66,(IF(J8=[5]Legend!$A$67,[5]Legend!$B$67,IF(J8=[5]Legend!$A$68, [5]Legend!$B$68, IF(J8=[5]Legend!$A$69, [5]Legend!$B$69, IF(J8=[5]Legend!$A$70, [5]Legend!$B$70, IF(J8=[5]Legend!$A$71, [5]Legend!$B$71, IF(J8=[5]Legend!$A$72, [5]Legend!$B$72, (IF(J8=[5]Legend!$A$73, [5]Legend!$B$73, IF(J8=[5]Legend!$A$74, [5]Legend!$B$74, "")))))))))))</f>
        <v>5</v>
      </c>
      <c r="L8" s="36">
        <v>5</v>
      </c>
      <c r="M8" s="36"/>
      <c r="N8" s="36"/>
      <c r="O8" s="36"/>
    </row>
    <row r="9" spans="1:17" ht="14" customHeight="1" x14ac:dyDescent="0.45">
      <c r="A9" s="35">
        <v>45532</v>
      </c>
      <c r="B9" s="36" t="s">
        <v>85</v>
      </c>
      <c r="C9" s="36" t="s">
        <v>90</v>
      </c>
      <c r="D9" s="36">
        <v>2</v>
      </c>
      <c r="E9" s="36">
        <v>1</v>
      </c>
      <c r="F9" s="36">
        <v>1</v>
      </c>
      <c r="G9" s="35">
        <v>45560</v>
      </c>
      <c r="H9" s="36" t="s">
        <v>43</v>
      </c>
      <c r="I9" s="36">
        <v>1</v>
      </c>
      <c r="J9" s="37" t="s">
        <v>60</v>
      </c>
      <c r="K9" s="34">
        <f>IF(J9=[5]Legend!$A$66,[5]Legend!$B$66,(IF(J9=[5]Legend!$A$67,[5]Legend!$B$67,IF(J9=[5]Legend!$A$68, [5]Legend!$B$68, IF(J9=[5]Legend!$A$69, [5]Legend!$B$69, IF(J9=[5]Legend!$A$70, [5]Legend!$B$70, IF(J9=[5]Legend!$A$71, [5]Legend!$B$71, IF(J9=[5]Legend!$A$72, [5]Legend!$B$72, (IF(J9=[5]Legend!$A$73, [5]Legend!$B$73, IF(J9=[5]Legend!$A$74, [5]Legend!$B$74, "")))))))))))</f>
        <v>25</v>
      </c>
      <c r="L9" s="36">
        <v>25</v>
      </c>
      <c r="M9" s="36"/>
      <c r="N9" s="36"/>
      <c r="O9" s="36"/>
    </row>
    <row r="10" spans="1:17" ht="14" customHeight="1" x14ac:dyDescent="0.45">
      <c r="A10" s="35">
        <v>45532</v>
      </c>
      <c r="B10" s="36" t="s">
        <v>85</v>
      </c>
      <c r="C10" s="36" t="s">
        <v>90</v>
      </c>
      <c r="D10" s="36">
        <v>2</v>
      </c>
      <c r="E10" s="36">
        <v>1</v>
      </c>
      <c r="F10" s="36">
        <v>1</v>
      </c>
      <c r="G10" s="35">
        <v>45560</v>
      </c>
      <c r="H10" s="36" t="s">
        <v>43</v>
      </c>
      <c r="I10" s="36">
        <v>1</v>
      </c>
      <c r="J10" s="37" t="s">
        <v>69</v>
      </c>
      <c r="K10" s="34">
        <f>IF(J10=[5]Legend!$A$66,[5]Legend!$B$66,(IF(J10=[5]Legend!$A$67,[5]Legend!$B$67,IF(J10=[5]Legend!$A$68, [5]Legend!$B$68, IF(J10=[5]Legend!$A$69, [5]Legend!$B$69, IF(J10=[5]Legend!$A$70, [5]Legend!$B$70, IF(J10=[5]Legend!$A$71, [5]Legend!$B$71, IF(J10=[5]Legend!$A$72, [5]Legend!$B$72, (IF(J10=[5]Legend!$A$73, [5]Legend!$B$73, IF(J10=[5]Legend!$A$74, [5]Legend!$B$74, "")))))))))))</f>
        <v>120</v>
      </c>
      <c r="L10" s="36">
        <v>120</v>
      </c>
      <c r="M10" s="36"/>
      <c r="N10" s="36"/>
      <c r="O10" s="36"/>
    </row>
    <row r="11" spans="1:17" ht="14" customHeight="1" x14ac:dyDescent="0.45">
      <c r="A11" s="35">
        <v>45532</v>
      </c>
      <c r="B11" s="36" t="s">
        <v>85</v>
      </c>
      <c r="C11" s="36" t="s">
        <v>90</v>
      </c>
      <c r="D11" s="36">
        <v>2</v>
      </c>
      <c r="E11" s="36">
        <v>1</v>
      </c>
      <c r="F11" s="36">
        <v>2</v>
      </c>
      <c r="G11" s="35">
        <v>45560</v>
      </c>
      <c r="H11" s="36" t="s">
        <v>43</v>
      </c>
      <c r="I11" s="36">
        <v>1</v>
      </c>
      <c r="J11" s="37" t="s">
        <v>18</v>
      </c>
      <c r="K11" s="34">
        <f>IF(J11=[5]Legend!$A$66,[5]Legend!$B$66,(IF(J11=[5]Legend!$A$67,[5]Legend!$B$67,IF(J11=[5]Legend!$A$68, [5]Legend!$B$68, IF(J11=[5]Legend!$A$69, [5]Legend!$B$69, IF(J11=[5]Legend!$A$70, [5]Legend!$B$70, IF(J11=[5]Legend!$A$71, [5]Legend!$B$71, IF(J11=[5]Legend!$A$72, [5]Legend!$B$72, (IF(J11=[5]Legend!$A$73, [5]Legend!$B$73, IF(J11=[5]Legend!$A$74, [5]Legend!$B$74, "")))))))))))</f>
        <v>5</v>
      </c>
      <c r="L11" s="36">
        <v>5</v>
      </c>
      <c r="M11" s="36"/>
      <c r="N11" s="36"/>
      <c r="O11" s="36"/>
    </row>
    <row r="12" spans="1:17" ht="14" customHeight="1" x14ac:dyDescent="0.45">
      <c r="A12" s="35">
        <v>45532</v>
      </c>
      <c r="B12" s="36" t="s">
        <v>85</v>
      </c>
      <c r="C12" s="36" t="s">
        <v>90</v>
      </c>
      <c r="D12" s="36">
        <v>2</v>
      </c>
      <c r="E12" s="36">
        <v>1</v>
      </c>
      <c r="F12" s="36">
        <v>2</v>
      </c>
      <c r="G12" s="35">
        <v>45560</v>
      </c>
      <c r="H12" s="36" t="s">
        <v>43</v>
      </c>
      <c r="I12" s="36">
        <v>1</v>
      </c>
      <c r="J12" s="37" t="s">
        <v>60</v>
      </c>
      <c r="K12" s="34">
        <f>IF(J12=[5]Legend!$A$66,[5]Legend!$B$66,(IF(J12=[5]Legend!$A$67,[5]Legend!$B$67,IF(J12=[5]Legend!$A$68, [5]Legend!$B$68, IF(J12=[5]Legend!$A$69, [5]Legend!$B$69, IF(J12=[5]Legend!$A$70, [5]Legend!$B$70, IF(J12=[5]Legend!$A$71, [5]Legend!$B$71, IF(J12=[5]Legend!$A$72, [5]Legend!$B$72, (IF(J12=[5]Legend!$A$73, [5]Legend!$B$73, IF(J12=[5]Legend!$A$74, [5]Legend!$B$74, "")))))))))))</f>
        <v>25</v>
      </c>
      <c r="L12" s="36">
        <v>25</v>
      </c>
      <c r="M12" s="36"/>
      <c r="N12" s="36"/>
      <c r="O12" s="36"/>
    </row>
    <row r="13" spans="1:17" ht="14" customHeight="1" x14ac:dyDescent="0.45">
      <c r="A13" s="35">
        <v>45532</v>
      </c>
      <c r="B13" s="36" t="s">
        <v>85</v>
      </c>
      <c r="C13" s="36" t="s">
        <v>90</v>
      </c>
      <c r="D13" s="36">
        <v>2</v>
      </c>
      <c r="E13" s="36">
        <v>1</v>
      </c>
      <c r="F13" s="36">
        <v>2</v>
      </c>
      <c r="G13" s="35">
        <v>45560</v>
      </c>
      <c r="H13" s="36" t="s">
        <v>43</v>
      </c>
      <c r="I13" s="36">
        <v>1</v>
      </c>
      <c r="J13" s="37" t="s">
        <v>69</v>
      </c>
      <c r="K13" s="34">
        <f>IF(J13=[5]Legend!$A$66,[5]Legend!$B$66,(IF(J13=[5]Legend!$A$67,[5]Legend!$B$67,IF(J13=[5]Legend!$A$68, [5]Legend!$B$68, IF(J13=[5]Legend!$A$69, [5]Legend!$B$69, IF(J13=[5]Legend!$A$70, [5]Legend!$B$70, IF(J13=[5]Legend!$A$71, [5]Legend!$B$71, IF(J13=[5]Legend!$A$72, [5]Legend!$B$72, (IF(J13=[5]Legend!$A$73, [5]Legend!$B$73, IF(J13=[5]Legend!$A$74, [5]Legend!$B$74, "")))))))))))</f>
        <v>120</v>
      </c>
      <c r="L13" s="36">
        <v>118</v>
      </c>
      <c r="M13" s="36"/>
      <c r="N13" s="36"/>
      <c r="O13" s="36" t="s">
        <v>100</v>
      </c>
    </row>
    <row r="14" spans="1:17" ht="14" customHeight="1" x14ac:dyDescent="0.45">
      <c r="A14" s="32">
        <v>9014</v>
      </c>
      <c r="B14" s="33" t="s">
        <v>85</v>
      </c>
      <c r="C14" s="33" t="s">
        <v>43</v>
      </c>
      <c r="D14" s="33">
        <v>3</v>
      </c>
      <c r="E14" s="33">
        <v>1</v>
      </c>
      <c r="F14" s="33">
        <v>2</v>
      </c>
      <c r="G14" s="32">
        <v>9036</v>
      </c>
      <c r="H14" s="33" t="s">
        <v>86</v>
      </c>
      <c r="I14" s="33">
        <v>1</v>
      </c>
      <c r="J14" s="33" t="s">
        <v>18</v>
      </c>
      <c r="K14" s="34">
        <f>IF(J14=[2]Legend!$A$66,[2]Legend!$B$66,(IF(J14=[2]Legend!$A$67,[2]Legend!$B$67,IF(J14=[2]Legend!$A$68, [2]Legend!$B$68, IF(J14=[2]Legend!$A$69, [2]Legend!$B$69, IF(J14=[2]Legend!$A$70, [2]Legend!$B$70, IF(J14=[2]Legend!$A$71, [2]Legend!$B$71, IF(J14=[2]Legend!$A$72, [2]Legend!$B$72, (IF(J14=[2]Legend!$A$73, [2]Legend!$B$73, IF(J14=[2]Legend!$A$74, [2]Legend!$B$74, "")))))))))))</f>
        <v>5</v>
      </c>
      <c r="L14" s="33">
        <v>5</v>
      </c>
      <c r="M14" s="33"/>
      <c r="N14" s="33"/>
      <c r="O14" s="33"/>
    </row>
    <row r="15" spans="1:17" ht="14" customHeight="1" x14ac:dyDescent="0.45">
      <c r="A15" s="32">
        <v>9014</v>
      </c>
      <c r="B15" s="33" t="s">
        <v>85</v>
      </c>
      <c r="C15" s="33" t="s">
        <v>43</v>
      </c>
      <c r="D15" s="33">
        <v>3</v>
      </c>
      <c r="E15" s="33">
        <v>1</v>
      </c>
      <c r="F15" s="33">
        <v>2</v>
      </c>
      <c r="G15" s="32">
        <v>9036</v>
      </c>
      <c r="H15" s="33" t="s">
        <v>86</v>
      </c>
      <c r="I15" s="33">
        <v>1</v>
      </c>
      <c r="J15" s="33" t="s">
        <v>60</v>
      </c>
      <c r="K15" s="34">
        <f>IF(J15=[2]Legend!$A$66,[2]Legend!$B$66,(IF(J15=[2]Legend!$A$67,[2]Legend!$B$67,IF(J15=[2]Legend!$A$68, [2]Legend!$B$68, IF(J15=[2]Legend!$A$69, [2]Legend!$B$69, IF(J15=[2]Legend!$A$70, [2]Legend!$B$70, IF(J15=[2]Legend!$A$71, [2]Legend!$B$71, IF(J15=[2]Legend!$A$72, [2]Legend!$B$72, (IF(J15=[2]Legend!$A$73, [2]Legend!$B$73, IF(J15=[2]Legend!$A$74, [2]Legend!$B$74, "")))))))))))</f>
        <v>25</v>
      </c>
      <c r="L15" s="33">
        <v>25</v>
      </c>
      <c r="M15" s="33"/>
      <c r="N15" s="33"/>
      <c r="O15" s="33"/>
    </row>
    <row r="16" spans="1:17" ht="14" customHeight="1" x14ac:dyDescent="0.45">
      <c r="A16" s="32">
        <v>9014</v>
      </c>
      <c r="B16" s="33" t="s">
        <v>85</v>
      </c>
      <c r="C16" s="33" t="s">
        <v>43</v>
      </c>
      <c r="D16" s="33">
        <v>3</v>
      </c>
      <c r="E16" s="33">
        <v>1</v>
      </c>
      <c r="F16" s="33">
        <v>2</v>
      </c>
      <c r="G16" s="32">
        <v>9036</v>
      </c>
      <c r="H16" s="38" t="s">
        <v>86</v>
      </c>
      <c r="I16" s="33">
        <v>1</v>
      </c>
      <c r="J16" s="33" t="s">
        <v>69</v>
      </c>
      <c r="K16" s="34">
        <f>IF(J16=[2]Legend!$A$66,[2]Legend!$B$66,(IF(J16=[2]Legend!$A$67,[2]Legend!$B$67,IF(J16=[2]Legend!$A$68, [2]Legend!$B$68, IF(J16=[2]Legend!$A$69, [2]Legend!$B$69, IF(J16=[2]Legend!$A$70, [2]Legend!$B$70, IF(J16=[2]Legend!$A$71, [2]Legend!$B$71, IF(J16=[2]Legend!$A$72, [2]Legend!$B$72, (IF(J16=[2]Legend!$A$73, [2]Legend!$B$73, IF(J16=[2]Legend!$A$74, [2]Legend!$B$74, "")))))))))))</f>
        <v>120</v>
      </c>
      <c r="L16" s="33">
        <v>120</v>
      </c>
      <c r="M16" s="33"/>
      <c r="N16" s="33"/>
      <c r="O16" s="33"/>
    </row>
    <row r="17" spans="1:15" ht="14" customHeight="1" x14ac:dyDescent="0.45">
      <c r="A17" s="32">
        <v>9014</v>
      </c>
      <c r="B17" s="33" t="s">
        <v>85</v>
      </c>
      <c r="C17" s="33" t="s">
        <v>43</v>
      </c>
      <c r="D17" s="33">
        <v>3</v>
      </c>
      <c r="E17" s="33">
        <v>1</v>
      </c>
      <c r="F17" s="33">
        <v>1</v>
      </c>
      <c r="G17" s="32">
        <v>9036</v>
      </c>
      <c r="H17" s="33" t="s">
        <v>86</v>
      </c>
      <c r="I17" s="33">
        <v>1</v>
      </c>
      <c r="J17" s="33" t="s">
        <v>18</v>
      </c>
      <c r="K17" s="34">
        <f>IF(J17=[2]Legend!$A$66,[2]Legend!$B$66,(IF(J17=[2]Legend!$A$67,[2]Legend!$B$67,IF(J17=[2]Legend!$A$68, [2]Legend!$B$68, IF(J17=[2]Legend!$A$69, [2]Legend!$B$69, IF(J17=[2]Legend!$A$70, [2]Legend!$B$70, IF(J17=[2]Legend!$A$71, [2]Legend!$B$71, IF(J17=[2]Legend!$A$72, [2]Legend!$B$72, (IF(J17=[2]Legend!$A$73, [2]Legend!$B$73, IF(J17=[2]Legend!$A$74, [2]Legend!$B$74, "")))))))))))</f>
        <v>5</v>
      </c>
      <c r="L17" s="33">
        <v>0</v>
      </c>
      <c r="M17" s="33"/>
      <c r="N17" s="33"/>
      <c r="O17" s="33" t="s">
        <v>88</v>
      </c>
    </row>
    <row r="18" spans="1:15" ht="14" customHeight="1" x14ac:dyDescent="0.45">
      <c r="A18" s="32">
        <v>9014</v>
      </c>
      <c r="B18" s="33" t="s">
        <v>85</v>
      </c>
      <c r="C18" s="33" t="s">
        <v>43</v>
      </c>
      <c r="D18" s="33">
        <v>3</v>
      </c>
      <c r="E18" s="33">
        <v>1</v>
      </c>
      <c r="F18" s="33">
        <v>1</v>
      </c>
      <c r="G18" s="32">
        <v>9036</v>
      </c>
      <c r="H18" s="33" t="s">
        <v>86</v>
      </c>
      <c r="I18" s="33">
        <v>1</v>
      </c>
      <c r="J18" s="33" t="s">
        <v>60</v>
      </c>
      <c r="K18" s="34">
        <f>IF(J18=[2]Legend!$A$66,[2]Legend!$B$66,(IF(J18=[2]Legend!$A$67,[2]Legend!$B$67,IF(J18=[2]Legend!$A$68, [2]Legend!$B$68, IF(J18=[2]Legend!$A$69, [2]Legend!$B$69, IF(J18=[2]Legend!$A$70, [2]Legend!$B$70, IF(J18=[2]Legend!$A$71, [2]Legend!$B$71, IF(J18=[2]Legend!$A$72, [2]Legend!$B$72, (IF(J18=[2]Legend!$A$73, [2]Legend!$B$73, IF(J18=[2]Legend!$A$74, [2]Legend!$B$74, "")))))))))))</f>
        <v>25</v>
      </c>
      <c r="L18" s="33">
        <v>19</v>
      </c>
      <c r="M18" s="33"/>
      <c r="N18" s="33"/>
      <c r="O18" s="33" t="s">
        <v>88</v>
      </c>
    </row>
    <row r="19" spans="1:15" ht="14" customHeight="1" x14ac:dyDescent="0.45">
      <c r="A19" s="32">
        <v>9014</v>
      </c>
      <c r="B19" s="33" t="s">
        <v>85</v>
      </c>
      <c r="C19" s="33" t="s">
        <v>43</v>
      </c>
      <c r="D19" s="33">
        <v>3</v>
      </c>
      <c r="E19" s="33">
        <v>1</v>
      </c>
      <c r="F19" s="33">
        <v>1</v>
      </c>
      <c r="G19" s="32">
        <v>9036</v>
      </c>
      <c r="H19" s="33" t="s">
        <v>86</v>
      </c>
      <c r="I19" s="33">
        <v>1</v>
      </c>
      <c r="J19" s="33" t="s">
        <v>69</v>
      </c>
      <c r="K19" s="34">
        <f>IF(J19=[2]Legend!$A$66,[2]Legend!$B$66,(IF(J19=[2]Legend!$A$67,[2]Legend!$B$67,IF(J19=[2]Legend!$A$68, [2]Legend!$B$68, IF(J19=[2]Legend!$A$69, [2]Legend!$B$69, IF(J19=[2]Legend!$A$70, [2]Legend!$B$70, IF(J19=[2]Legend!$A$71, [2]Legend!$B$71, IF(J19=[2]Legend!$A$72, [2]Legend!$B$72, (IF(J19=[2]Legend!$A$73, [2]Legend!$B$73, IF(J19=[2]Legend!$A$74, [2]Legend!$B$74, "")))))))))))</f>
        <v>120</v>
      </c>
      <c r="L19" s="33">
        <v>93</v>
      </c>
      <c r="M19" s="33">
        <v>76</v>
      </c>
      <c r="N19" s="33"/>
      <c r="O19" s="33" t="s">
        <v>88</v>
      </c>
    </row>
    <row r="20" spans="1:15" ht="14" customHeight="1" x14ac:dyDescent="0.45">
      <c r="A20" s="32">
        <v>45525</v>
      </c>
      <c r="B20" s="33" t="s">
        <v>85</v>
      </c>
      <c r="C20" s="33" t="s">
        <v>93</v>
      </c>
      <c r="D20" s="33">
        <v>1</v>
      </c>
      <c r="E20" s="33">
        <v>2</v>
      </c>
      <c r="F20" s="33">
        <v>1</v>
      </c>
      <c r="G20" s="32">
        <v>45548</v>
      </c>
      <c r="H20" s="33" t="s">
        <v>43</v>
      </c>
      <c r="I20" s="33">
        <v>1</v>
      </c>
      <c r="J20" s="33" t="s">
        <v>18</v>
      </c>
      <c r="K20" s="34">
        <f>IF(J20=[16]Legend!$A$66,[16]Legend!$B$66,(IF(J20=[16]Legend!$A$67,[16]Legend!$B$67,IF(J20=[16]Legend!$A$68, [16]Legend!$B$68, IF(J20=[16]Legend!$A$69, [16]Legend!$B$69, IF(J20=[16]Legend!$A$70, [16]Legend!$B$70, IF(J20=[16]Legend!$A$71, [16]Legend!$B$71, IF(J20=[16]Legend!$A$72, [16]Legend!$B$72, (IF(J20=[16]Legend!$A$73, [16]Legend!$B$73, IF(J20=[16]Legend!$A$74, [16]Legend!$B$74, "")))))))))))</f>
        <v>5</v>
      </c>
      <c r="L20" s="33">
        <v>5</v>
      </c>
      <c r="M20" s="33"/>
      <c r="N20" s="33"/>
      <c r="O20" s="33"/>
    </row>
    <row r="21" spans="1:15" ht="14" customHeight="1" x14ac:dyDescent="0.45">
      <c r="A21" s="32">
        <v>45525</v>
      </c>
      <c r="B21" s="33" t="s">
        <v>85</v>
      </c>
      <c r="C21" s="33" t="s">
        <v>93</v>
      </c>
      <c r="D21" s="33">
        <v>1</v>
      </c>
      <c r="E21" s="33">
        <v>2</v>
      </c>
      <c r="F21" s="33">
        <v>1</v>
      </c>
      <c r="G21" s="32">
        <v>45548</v>
      </c>
      <c r="H21" s="33" t="s">
        <v>43</v>
      </c>
      <c r="I21" s="33">
        <v>1</v>
      </c>
      <c r="J21" s="33" t="s">
        <v>60</v>
      </c>
      <c r="K21" s="34">
        <f>IF(J21=[16]Legend!$A$66,[16]Legend!$B$66,(IF(J21=[16]Legend!$A$67,[16]Legend!$B$67,IF(J21=[16]Legend!$A$68, [16]Legend!$B$68, IF(J21=[16]Legend!$A$69, [16]Legend!$B$69, IF(J21=[16]Legend!$A$70, [16]Legend!$B$70, IF(J21=[16]Legend!$A$71, [16]Legend!$B$71, IF(J21=[16]Legend!$A$72, [16]Legend!$B$72, (IF(J21=[16]Legend!$A$73, [16]Legend!$B$73, IF(J21=[16]Legend!$A$74, [16]Legend!$B$74, "")))))))))))</f>
        <v>25</v>
      </c>
      <c r="L21" s="33">
        <v>25</v>
      </c>
      <c r="M21" s="33"/>
      <c r="N21" s="33"/>
      <c r="O21" s="33"/>
    </row>
    <row r="22" spans="1:15" ht="14" customHeight="1" x14ac:dyDescent="0.45">
      <c r="A22" s="32">
        <v>45525</v>
      </c>
      <c r="B22" s="33" t="s">
        <v>85</v>
      </c>
      <c r="C22" s="33" t="s">
        <v>93</v>
      </c>
      <c r="D22" s="33">
        <v>1</v>
      </c>
      <c r="E22" s="33">
        <v>2</v>
      </c>
      <c r="F22" s="33">
        <v>1</v>
      </c>
      <c r="G22" s="32">
        <v>45548</v>
      </c>
      <c r="H22" s="33" t="s">
        <v>43</v>
      </c>
      <c r="I22" s="33">
        <v>1</v>
      </c>
      <c r="J22" s="33" t="s">
        <v>69</v>
      </c>
      <c r="K22" s="34">
        <f>IF(J22=[16]Legend!$A$66,[16]Legend!$B$66,(IF(J22=[16]Legend!$A$67,[16]Legend!$B$67,IF(J22=[16]Legend!$A$68, [16]Legend!$B$68, IF(J22=[16]Legend!$A$69, [16]Legend!$B$69, IF(J22=[16]Legend!$A$70, [16]Legend!$B$70, IF(J22=[16]Legend!$A$71, [16]Legend!$B$71, IF(J22=[16]Legend!$A$72, [16]Legend!$B$72, (IF(J22=[16]Legend!$A$73, [16]Legend!$B$73, IF(J22=[16]Legend!$A$74, [16]Legend!$B$74, "")))))))))))</f>
        <v>120</v>
      </c>
      <c r="L22" s="33">
        <v>116</v>
      </c>
      <c r="M22" s="33"/>
      <c r="N22" s="33"/>
      <c r="O22" s="33"/>
    </row>
    <row r="23" spans="1:15" ht="14" customHeight="1" x14ac:dyDescent="0.45">
      <c r="A23" s="32">
        <v>45525</v>
      </c>
      <c r="B23" s="33" t="s">
        <v>85</v>
      </c>
      <c r="C23" s="33" t="s">
        <v>93</v>
      </c>
      <c r="D23" s="33">
        <v>1</v>
      </c>
      <c r="E23" s="33">
        <v>2</v>
      </c>
      <c r="F23" s="33">
        <v>2</v>
      </c>
      <c r="G23" s="32">
        <v>45548</v>
      </c>
      <c r="H23" s="33" t="s">
        <v>43</v>
      </c>
      <c r="I23" s="33">
        <v>1</v>
      </c>
      <c r="J23" s="33" t="s">
        <v>18</v>
      </c>
      <c r="K23" s="34">
        <f>IF(J23=[16]Legend!$A$66,[16]Legend!$B$66,(IF(J23=[16]Legend!$A$67,[16]Legend!$B$67,IF(J23=[16]Legend!$A$68, [16]Legend!$B$68, IF(J23=[16]Legend!$A$69, [16]Legend!$B$69, IF(J23=[16]Legend!$A$70, [16]Legend!$B$70, IF(J23=[16]Legend!$A$71, [16]Legend!$B$71, IF(J23=[16]Legend!$A$72, [16]Legend!$B$72, (IF(J23=[16]Legend!$A$73, [16]Legend!$B$73, IF(J23=[16]Legend!$A$74, [16]Legend!$B$74, "")))))))))))</f>
        <v>5</v>
      </c>
      <c r="L23" s="33">
        <v>5</v>
      </c>
      <c r="M23" s="33"/>
      <c r="N23" s="33"/>
      <c r="O23" s="33"/>
    </row>
    <row r="24" spans="1:15" ht="14" customHeight="1" x14ac:dyDescent="0.45">
      <c r="A24" s="32">
        <v>45525</v>
      </c>
      <c r="B24" s="33" t="s">
        <v>85</v>
      </c>
      <c r="C24" s="33" t="s">
        <v>93</v>
      </c>
      <c r="D24" s="33">
        <v>1</v>
      </c>
      <c r="E24" s="33">
        <v>2</v>
      </c>
      <c r="F24" s="33">
        <v>2</v>
      </c>
      <c r="G24" s="32">
        <v>45548</v>
      </c>
      <c r="H24" s="33" t="s">
        <v>43</v>
      </c>
      <c r="I24" s="33">
        <v>1</v>
      </c>
      <c r="J24" s="33" t="s">
        <v>60</v>
      </c>
      <c r="K24" s="34">
        <f>IF(J24=[16]Legend!$A$66,[16]Legend!$B$66,(IF(J24=[16]Legend!$A$67,[16]Legend!$B$67,IF(J24=[16]Legend!$A$68, [16]Legend!$B$68, IF(J24=[16]Legend!$A$69, [16]Legend!$B$69, IF(J24=[16]Legend!$A$70, [16]Legend!$B$70, IF(J24=[16]Legend!$A$71, [16]Legend!$B$71, IF(J24=[16]Legend!$A$72, [16]Legend!$B$72, (IF(J24=[16]Legend!$A$73, [16]Legend!$B$73, IF(J24=[16]Legend!$A$74, [16]Legend!$B$74, "")))))))))))</f>
        <v>25</v>
      </c>
      <c r="L24" s="38">
        <v>25</v>
      </c>
      <c r="M24" s="33"/>
      <c r="N24" s="33"/>
      <c r="O24" s="33"/>
    </row>
    <row r="25" spans="1:15" ht="14" customHeight="1" x14ac:dyDescent="0.45">
      <c r="A25" s="32">
        <v>45525</v>
      </c>
      <c r="B25" s="33" t="s">
        <v>85</v>
      </c>
      <c r="C25" s="33" t="s">
        <v>93</v>
      </c>
      <c r="D25" s="33">
        <v>1</v>
      </c>
      <c r="E25" s="33">
        <v>2</v>
      </c>
      <c r="F25" s="33">
        <v>2</v>
      </c>
      <c r="G25" s="32">
        <v>45548</v>
      </c>
      <c r="H25" s="33" t="s">
        <v>43</v>
      </c>
      <c r="I25" s="33">
        <v>1</v>
      </c>
      <c r="J25" s="33" t="s">
        <v>69</v>
      </c>
      <c r="K25" s="34">
        <f>IF(J25=[16]Legend!$A$66,[16]Legend!$B$66,(IF(J25=[16]Legend!$A$67,[16]Legend!$B$67,IF(J25=[16]Legend!$A$68, [16]Legend!$B$68, IF(J25=[16]Legend!$A$69, [16]Legend!$B$69, IF(J25=[16]Legend!$A$70, [16]Legend!$B$70, IF(J25=[16]Legend!$A$71, [16]Legend!$B$71, IF(J25=[16]Legend!$A$72, [16]Legend!$B$72, (IF(J25=[16]Legend!$A$73, [16]Legend!$B$73, IF(J25=[16]Legend!$A$74, [16]Legend!$B$74, "")))))))))))</f>
        <v>120</v>
      </c>
      <c r="L25" s="33">
        <v>120</v>
      </c>
      <c r="M25" s="33"/>
      <c r="N25" s="33"/>
      <c r="O25" s="33"/>
    </row>
    <row r="26" spans="1:15" ht="14" customHeight="1" x14ac:dyDescent="0.45">
      <c r="A26" s="35">
        <v>45532</v>
      </c>
      <c r="B26" s="36" t="s">
        <v>85</v>
      </c>
      <c r="C26" s="36" t="s">
        <v>90</v>
      </c>
      <c r="D26" s="36">
        <v>2</v>
      </c>
      <c r="E26" s="36">
        <v>2</v>
      </c>
      <c r="F26" s="36">
        <v>1</v>
      </c>
      <c r="G26" s="35">
        <v>45560</v>
      </c>
      <c r="H26" s="36" t="s">
        <v>43</v>
      </c>
      <c r="I26" s="36">
        <v>1</v>
      </c>
      <c r="J26" s="37" t="s">
        <v>18</v>
      </c>
      <c r="K26" s="34">
        <f>IF(J26=[5]Legend!$A$66,[5]Legend!$B$66,(IF(J26=[5]Legend!$A$67,[5]Legend!$B$67,IF(J26=[5]Legend!$A$68, [5]Legend!$B$68, IF(J26=[5]Legend!$A$69, [5]Legend!$B$69, IF(J26=[5]Legend!$A$70, [5]Legend!$B$70, IF(J26=[5]Legend!$A$71, [5]Legend!$B$71, IF(J26=[5]Legend!$A$72, [5]Legend!$B$72, (IF(J26=[5]Legend!$A$73, [5]Legend!$B$73, IF(J26=[5]Legend!$A$74, [5]Legend!$B$74, "")))))))))))</f>
        <v>5</v>
      </c>
      <c r="L26" s="36">
        <v>5</v>
      </c>
      <c r="M26" s="36"/>
      <c r="N26" s="36"/>
      <c r="O26" s="36"/>
    </row>
    <row r="27" spans="1:15" ht="14" customHeight="1" x14ac:dyDescent="0.45">
      <c r="A27" s="35">
        <v>45532</v>
      </c>
      <c r="B27" s="36" t="s">
        <v>85</v>
      </c>
      <c r="C27" s="36" t="s">
        <v>90</v>
      </c>
      <c r="D27" s="36">
        <v>2</v>
      </c>
      <c r="E27" s="36">
        <v>2</v>
      </c>
      <c r="F27" s="36">
        <v>1</v>
      </c>
      <c r="G27" s="35">
        <v>45560</v>
      </c>
      <c r="H27" s="36" t="s">
        <v>43</v>
      </c>
      <c r="I27" s="36">
        <v>1</v>
      </c>
      <c r="J27" s="37" t="s">
        <v>60</v>
      </c>
      <c r="K27" s="34">
        <f>IF(J27=[5]Legend!$A$66,[5]Legend!$B$66,(IF(J27=[5]Legend!$A$67,[5]Legend!$B$67,IF(J27=[5]Legend!$A$68, [5]Legend!$B$68, IF(J27=[5]Legend!$A$69, [5]Legend!$B$69, IF(J27=[5]Legend!$A$70, [5]Legend!$B$70, IF(J27=[5]Legend!$A$71, [5]Legend!$B$71, IF(J27=[5]Legend!$A$72, [5]Legend!$B$72, (IF(J27=[5]Legend!$A$73, [5]Legend!$B$73, IF(J27=[5]Legend!$A$74, [5]Legend!$B$74, "")))))))))))</f>
        <v>25</v>
      </c>
      <c r="L27" s="36">
        <v>24</v>
      </c>
      <c r="M27" s="36"/>
      <c r="N27" s="36"/>
      <c r="O27" s="36" t="s">
        <v>101</v>
      </c>
    </row>
    <row r="28" spans="1:15" ht="14" customHeight="1" x14ac:dyDescent="0.45">
      <c r="A28" s="35">
        <v>45532</v>
      </c>
      <c r="B28" s="36" t="s">
        <v>85</v>
      </c>
      <c r="C28" s="36" t="s">
        <v>90</v>
      </c>
      <c r="D28" s="36">
        <v>2</v>
      </c>
      <c r="E28" s="36">
        <v>2</v>
      </c>
      <c r="F28" s="36">
        <v>1</v>
      </c>
      <c r="G28" s="35">
        <v>45560</v>
      </c>
      <c r="H28" s="36" t="s">
        <v>43</v>
      </c>
      <c r="I28" s="36">
        <v>1</v>
      </c>
      <c r="J28" s="37" t="s">
        <v>69</v>
      </c>
      <c r="K28" s="34">
        <f>IF(J28=[5]Legend!$A$66,[5]Legend!$B$66,(IF(J28=[5]Legend!$A$67,[5]Legend!$B$67,IF(J28=[5]Legend!$A$68, [5]Legend!$B$68, IF(J28=[5]Legend!$A$69, [5]Legend!$B$69, IF(J28=[5]Legend!$A$70, [5]Legend!$B$70, IF(J28=[5]Legend!$A$71, [5]Legend!$B$71, IF(J28=[5]Legend!$A$72, [5]Legend!$B$72, (IF(J28=[5]Legend!$A$73, [5]Legend!$B$73, IF(J28=[5]Legend!$A$74, [5]Legend!$B$74, "")))))))))))</f>
        <v>120</v>
      </c>
      <c r="L28" s="36">
        <v>88</v>
      </c>
      <c r="M28" s="36"/>
      <c r="N28" s="36"/>
      <c r="O28" s="36" t="s">
        <v>102</v>
      </c>
    </row>
    <row r="29" spans="1:15" ht="14" customHeight="1" x14ac:dyDescent="0.45">
      <c r="A29" s="35">
        <v>45532</v>
      </c>
      <c r="B29" s="36" t="s">
        <v>85</v>
      </c>
      <c r="C29" s="36" t="s">
        <v>90</v>
      </c>
      <c r="D29" s="36">
        <v>2</v>
      </c>
      <c r="E29" s="36">
        <v>2</v>
      </c>
      <c r="F29" s="36">
        <v>2</v>
      </c>
      <c r="G29" s="35">
        <v>45560</v>
      </c>
      <c r="H29" s="36" t="s">
        <v>43</v>
      </c>
      <c r="I29" s="36">
        <v>1</v>
      </c>
      <c r="J29" s="37" t="s">
        <v>18</v>
      </c>
      <c r="K29" s="34">
        <f>IF(J29=[5]Legend!$A$66,[5]Legend!$B$66,(IF(J29=[5]Legend!$A$67,[5]Legend!$B$67,IF(J29=[5]Legend!$A$68, [5]Legend!$B$68, IF(J29=[5]Legend!$A$69, [5]Legend!$B$69, IF(J29=[5]Legend!$A$70, [5]Legend!$B$70, IF(J29=[5]Legend!$A$71, [5]Legend!$B$71, IF(J29=[5]Legend!$A$72, [5]Legend!$B$72, (IF(J29=[5]Legend!$A$73, [5]Legend!$B$73, IF(J29=[5]Legend!$A$74, [5]Legend!$B$74, "")))))))))))</f>
        <v>5</v>
      </c>
      <c r="L29" s="36">
        <v>5</v>
      </c>
      <c r="M29" s="36"/>
      <c r="N29" s="36"/>
      <c r="O29" s="36"/>
    </row>
    <row r="30" spans="1:15" ht="14" customHeight="1" x14ac:dyDescent="0.45">
      <c r="A30" s="35">
        <v>45532</v>
      </c>
      <c r="B30" s="36" t="s">
        <v>85</v>
      </c>
      <c r="C30" s="36" t="s">
        <v>90</v>
      </c>
      <c r="D30" s="36">
        <v>2</v>
      </c>
      <c r="E30" s="36">
        <v>2</v>
      </c>
      <c r="F30" s="36">
        <v>2</v>
      </c>
      <c r="G30" s="35">
        <v>45560</v>
      </c>
      <c r="H30" s="36" t="s">
        <v>43</v>
      </c>
      <c r="I30" s="36">
        <v>1</v>
      </c>
      <c r="J30" s="37" t="s">
        <v>60</v>
      </c>
      <c r="K30" s="34">
        <f>IF(J30=[5]Legend!$A$66,[5]Legend!$B$66,(IF(J30=[5]Legend!$A$67,[5]Legend!$B$67,IF(J30=[5]Legend!$A$68, [5]Legend!$B$68, IF(J30=[5]Legend!$A$69, [5]Legend!$B$69, IF(J30=[5]Legend!$A$70, [5]Legend!$B$70, IF(J30=[5]Legend!$A$71, [5]Legend!$B$71, IF(J30=[5]Legend!$A$72, [5]Legend!$B$72, (IF(J30=[5]Legend!$A$73, [5]Legend!$B$73, IF(J30=[5]Legend!$A$74, [5]Legend!$B$74, "")))))))))))</f>
        <v>25</v>
      </c>
      <c r="L30" s="36">
        <v>25</v>
      </c>
      <c r="M30" s="36"/>
      <c r="N30" s="36"/>
      <c r="O30" s="36"/>
    </row>
    <row r="31" spans="1:15" ht="14" customHeight="1" x14ac:dyDescent="0.45">
      <c r="A31" s="35">
        <v>45532</v>
      </c>
      <c r="B31" s="36" t="s">
        <v>85</v>
      </c>
      <c r="C31" s="36" t="s">
        <v>90</v>
      </c>
      <c r="D31" s="36">
        <v>2</v>
      </c>
      <c r="E31" s="36">
        <v>2</v>
      </c>
      <c r="F31" s="36">
        <v>2</v>
      </c>
      <c r="G31" s="35">
        <v>45560</v>
      </c>
      <c r="H31" s="36" t="s">
        <v>43</v>
      </c>
      <c r="I31" s="36">
        <v>1</v>
      </c>
      <c r="J31" s="37" t="s">
        <v>69</v>
      </c>
      <c r="K31" s="34">
        <f>IF(J31=[5]Legend!$A$66,[5]Legend!$B$66,(IF(J31=[5]Legend!$A$67,[5]Legend!$B$67,IF(J31=[5]Legend!$A$68, [5]Legend!$B$68, IF(J31=[5]Legend!$A$69, [5]Legend!$B$69, IF(J31=[5]Legend!$A$70, [5]Legend!$B$70, IF(J31=[5]Legend!$A$71, [5]Legend!$B$71, IF(J31=[5]Legend!$A$72, [5]Legend!$B$72, (IF(J31=[5]Legend!$A$73, [5]Legend!$B$73, IF(J31=[5]Legend!$A$74, [5]Legend!$B$74, "")))))))))))</f>
        <v>120</v>
      </c>
      <c r="L31" s="36">
        <v>120</v>
      </c>
      <c r="M31" s="36"/>
      <c r="N31" s="36"/>
      <c r="O31" s="36" t="s">
        <v>103</v>
      </c>
    </row>
    <row r="32" spans="1:15" ht="14" customHeight="1" x14ac:dyDescent="0.45">
      <c r="A32" s="32">
        <v>9014</v>
      </c>
      <c r="B32" s="33" t="s">
        <v>85</v>
      </c>
      <c r="C32" s="33" t="s">
        <v>16</v>
      </c>
      <c r="D32" s="33">
        <v>3</v>
      </c>
      <c r="E32" s="33">
        <v>2</v>
      </c>
      <c r="F32" s="33">
        <v>1</v>
      </c>
      <c r="G32" s="32">
        <v>9036</v>
      </c>
      <c r="H32" s="33" t="s">
        <v>86</v>
      </c>
      <c r="I32" s="33">
        <v>1</v>
      </c>
      <c r="J32" s="33" t="s">
        <v>18</v>
      </c>
      <c r="K32" s="34">
        <f>IF(J32=[2]Legend!$A$66,[2]Legend!$B$66,(IF(J32=[2]Legend!$A$67,[2]Legend!$B$67,IF(J32=[2]Legend!$A$68, [2]Legend!$B$68, IF(J32=[2]Legend!$A$69, [2]Legend!$B$69, IF(J32=[2]Legend!$A$70, [2]Legend!$B$70, IF(J32=[2]Legend!$A$71, [2]Legend!$B$71, IF(J32=[2]Legend!$A$72, [2]Legend!$B$72, (IF(J32=[2]Legend!$A$73, [2]Legend!$B$73, IF(J32=[2]Legend!$A$74, [2]Legend!$B$74, "")))))))))))</f>
        <v>5</v>
      </c>
      <c r="L32" s="33">
        <v>0</v>
      </c>
      <c r="M32" s="33"/>
      <c r="N32" s="33"/>
      <c r="O32" s="33"/>
    </row>
    <row r="33" spans="1:15" ht="14" customHeight="1" x14ac:dyDescent="0.45">
      <c r="A33" s="32">
        <v>9014</v>
      </c>
      <c r="B33" s="33" t="s">
        <v>85</v>
      </c>
      <c r="C33" s="33" t="s">
        <v>16</v>
      </c>
      <c r="D33" s="33">
        <v>3</v>
      </c>
      <c r="E33" s="33">
        <v>2</v>
      </c>
      <c r="F33" s="33">
        <v>1</v>
      </c>
      <c r="G33" s="32">
        <v>9036</v>
      </c>
      <c r="H33" s="33" t="s">
        <v>86</v>
      </c>
      <c r="I33" s="33">
        <v>1</v>
      </c>
      <c r="J33" s="33" t="s">
        <v>60</v>
      </c>
      <c r="K33" s="34">
        <f>IF(J33=[2]Legend!$A$66,[2]Legend!$B$66,(IF(J33=[2]Legend!$A$67,[2]Legend!$B$67,IF(J33=[2]Legend!$A$68, [2]Legend!$B$68, IF(J33=[2]Legend!$A$69, [2]Legend!$B$69, IF(J33=[2]Legend!$A$70, [2]Legend!$B$70, IF(J33=[2]Legend!$A$71, [2]Legend!$B$71, IF(J33=[2]Legend!$A$72, [2]Legend!$B$72, (IF(J33=[2]Legend!$A$73, [2]Legend!$B$73, IF(J33=[2]Legend!$A$74, [2]Legend!$B$74, "")))))))))))</f>
        <v>25</v>
      </c>
      <c r="L33" s="33">
        <v>20</v>
      </c>
      <c r="M33" s="33">
        <v>20</v>
      </c>
      <c r="N33" s="33" t="s">
        <v>23</v>
      </c>
      <c r="O33" s="33"/>
    </row>
    <row r="34" spans="1:15" ht="14" customHeight="1" x14ac:dyDescent="0.45">
      <c r="A34" s="32">
        <v>9014</v>
      </c>
      <c r="B34" s="33" t="s">
        <v>85</v>
      </c>
      <c r="C34" s="33" t="s">
        <v>16</v>
      </c>
      <c r="D34" s="33">
        <v>3</v>
      </c>
      <c r="E34" s="33">
        <v>2</v>
      </c>
      <c r="F34" s="33">
        <v>1</v>
      </c>
      <c r="G34" s="32">
        <v>9036</v>
      </c>
      <c r="H34" s="33" t="s">
        <v>86</v>
      </c>
      <c r="I34" s="33">
        <v>1</v>
      </c>
      <c r="J34" s="33" t="s">
        <v>69</v>
      </c>
      <c r="K34" s="34">
        <f>IF(J34=[2]Legend!$A$66,[2]Legend!$B$66,(IF(J34=[2]Legend!$A$67,[2]Legend!$B$67,IF(J34=[2]Legend!$A$68, [2]Legend!$B$68, IF(J34=[2]Legend!$A$69, [2]Legend!$B$69, IF(J34=[2]Legend!$A$70, [2]Legend!$B$70, IF(J34=[2]Legend!$A$71, [2]Legend!$B$71, IF(J34=[2]Legend!$A$72, [2]Legend!$B$72, (IF(J34=[2]Legend!$A$73, [2]Legend!$B$73, IF(J34=[2]Legend!$A$74, [2]Legend!$B$74, "")))))))))))</f>
        <v>120</v>
      </c>
      <c r="L34" s="33">
        <v>115</v>
      </c>
      <c r="M34" s="33">
        <v>115</v>
      </c>
      <c r="N34" s="33" t="s">
        <v>23</v>
      </c>
      <c r="O34" s="33"/>
    </row>
    <row r="35" spans="1:15" ht="14" customHeight="1" x14ac:dyDescent="0.45">
      <c r="A35" s="32">
        <v>45539</v>
      </c>
      <c r="B35" s="33" t="s">
        <v>85</v>
      </c>
      <c r="C35" s="33" t="s">
        <v>43</v>
      </c>
      <c r="D35" s="40">
        <v>3</v>
      </c>
      <c r="E35" s="33">
        <v>2</v>
      </c>
      <c r="F35" s="33">
        <v>2</v>
      </c>
      <c r="G35" s="32">
        <v>45561</v>
      </c>
      <c r="H35" s="33" t="s">
        <v>108</v>
      </c>
      <c r="I35" s="33">
        <v>1</v>
      </c>
      <c r="J35" s="33" t="s">
        <v>60</v>
      </c>
      <c r="K35" s="34">
        <f>IF(J35=[7]Legend!$A$66,[7]Legend!$B$66,(IF(J35=[7]Legend!$A$67,[7]Legend!$B$67,IF(J35=[7]Legend!$A$68, [7]Legend!$B$68, IF(J35=[7]Legend!$A$69, [7]Legend!$B$69, IF(J35=[7]Legend!$A$70, [7]Legend!$B$70, IF(J35=[7]Legend!$A$71, [7]Legend!$B$71, IF(J35=[7]Legend!$A$72, [7]Legend!$B$72, (IF(J35=[7]Legend!$A$73, [7]Legend!$B$73, IF(J35=[7]Legend!$A$74, [7]Legend!$B$74, "")))))))))))</f>
        <v>25</v>
      </c>
      <c r="L35" s="33">
        <v>25</v>
      </c>
      <c r="M35" s="33"/>
      <c r="N35" s="33"/>
      <c r="O35" s="33" t="s">
        <v>118</v>
      </c>
    </row>
    <row r="36" spans="1:15" ht="14" customHeight="1" x14ac:dyDescent="0.45">
      <c r="A36" s="32">
        <v>45539</v>
      </c>
      <c r="B36" s="33" t="s">
        <v>85</v>
      </c>
      <c r="C36" s="33" t="s">
        <v>43</v>
      </c>
      <c r="D36" s="40">
        <v>3</v>
      </c>
      <c r="E36" s="33">
        <v>2</v>
      </c>
      <c r="F36" s="33">
        <v>2</v>
      </c>
      <c r="G36" s="32">
        <v>45561</v>
      </c>
      <c r="H36" s="33" t="s">
        <v>108</v>
      </c>
      <c r="I36" s="33">
        <v>1</v>
      </c>
      <c r="J36" s="33" t="s">
        <v>18</v>
      </c>
      <c r="K36" s="34">
        <f>IF(J36=[7]Legend!$A$66,[7]Legend!$B$66,(IF(J36=[7]Legend!$A$67,[7]Legend!$B$67,IF(J36=[7]Legend!$A$68, [7]Legend!$B$68, IF(J36=[7]Legend!$A$69, [7]Legend!$B$69, IF(J36=[7]Legend!$A$70, [7]Legend!$B$70, IF(J36=[7]Legend!$A$71, [7]Legend!$B$71, IF(J36=[7]Legend!$A$72, [7]Legend!$B$72, (IF(J36=[7]Legend!$A$73, [7]Legend!$B$73, IF(J36=[7]Legend!$A$74, [7]Legend!$B$74, "")))))))))))</f>
        <v>5</v>
      </c>
      <c r="L36" s="33">
        <v>5</v>
      </c>
      <c r="M36" s="33"/>
      <c r="N36" s="33"/>
      <c r="O36" s="33"/>
    </row>
    <row r="37" spans="1:15" ht="14" customHeight="1" x14ac:dyDescent="0.45">
      <c r="A37" s="32">
        <v>45539</v>
      </c>
      <c r="B37" s="33" t="s">
        <v>85</v>
      </c>
      <c r="C37" s="33" t="s">
        <v>43</v>
      </c>
      <c r="D37" s="40">
        <v>3</v>
      </c>
      <c r="E37" s="33">
        <v>2</v>
      </c>
      <c r="F37" s="33">
        <v>2</v>
      </c>
      <c r="G37" s="32">
        <v>45561</v>
      </c>
      <c r="H37" s="33" t="s">
        <v>108</v>
      </c>
      <c r="I37" s="33">
        <v>1</v>
      </c>
      <c r="J37" s="33" t="s">
        <v>69</v>
      </c>
      <c r="K37" s="34">
        <f>IF(J37=[7]Legend!$A$66,[7]Legend!$B$66,(IF(J37=[7]Legend!$A$67,[7]Legend!$B$67,IF(J37=[7]Legend!$A$68, [7]Legend!$B$68, IF(J37=[7]Legend!$A$69, [7]Legend!$B$69, IF(J37=[7]Legend!$A$70, [7]Legend!$B$70, IF(J37=[7]Legend!$A$71, [7]Legend!$B$71, IF(J37=[7]Legend!$A$72, [7]Legend!$B$72, (IF(J37=[7]Legend!$A$73, [7]Legend!$B$73, IF(J37=[7]Legend!$A$74, [7]Legend!$B$74, "")))))))))))</f>
        <v>120</v>
      </c>
      <c r="L37" s="33">
        <v>119</v>
      </c>
      <c r="M37" s="33"/>
      <c r="N37" s="33"/>
      <c r="O37" s="33"/>
    </row>
    <row r="38" spans="1:15" ht="14" customHeight="1" x14ac:dyDescent="0.45">
      <c r="A38" s="32">
        <v>45525</v>
      </c>
      <c r="B38" s="33" t="s">
        <v>85</v>
      </c>
      <c r="C38" s="33" t="s">
        <v>93</v>
      </c>
      <c r="D38" s="33">
        <v>1</v>
      </c>
      <c r="E38" s="33">
        <v>3</v>
      </c>
      <c r="F38" s="33">
        <v>1</v>
      </c>
      <c r="G38" s="32">
        <v>45548</v>
      </c>
      <c r="H38" s="33" t="s">
        <v>43</v>
      </c>
      <c r="I38" s="33">
        <v>1</v>
      </c>
      <c r="J38" s="33" t="s">
        <v>18</v>
      </c>
      <c r="K38" s="34">
        <f>IF(J38=[16]Legend!$A$66,[16]Legend!$B$66,(IF(J38=[16]Legend!$A$67,[16]Legend!$B$67,IF(J38=[16]Legend!$A$68, [16]Legend!$B$68, IF(J38=[16]Legend!$A$69, [16]Legend!$B$69, IF(J38=[16]Legend!$A$70, [16]Legend!$B$70, IF(J38=[16]Legend!$A$71, [16]Legend!$B$71, IF(J38=[16]Legend!$A$72, [16]Legend!$B$72, (IF(J38=[16]Legend!$A$73, [16]Legend!$B$73, IF(J38=[16]Legend!$A$74, [16]Legend!$B$74, "")))))))))))</f>
        <v>5</v>
      </c>
      <c r="L38" s="33">
        <v>5</v>
      </c>
      <c r="M38" s="33"/>
      <c r="N38" s="33"/>
      <c r="O38" s="33"/>
    </row>
    <row r="39" spans="1:15" ht="14" customHeight="1" x14ac:dyDescent="0.45">
      <c r="A39" s="32">
        <v>45525</v>
      </c>
      <c r="B39" s="33" t="s">
        <v>85</v>
      </c>
      <c r="C39" s="33" t="s">
        <v>93</v>
      </c>
      <c r="D39" s="33">
        <v>1</v>
      </c>
      <c r="E39" s="33">
        <v>3</v>
      </c>
      <c r="F39" s="33">
        <v>1</v>
      </c>
      <c r="G39" s="32">
        <v>45548</v>
      </c>
      <c r="H39" s="33" t="s">
        <v>43</v>
      </c>
      <c r="I39" s="33">
        <v>1</v>
      </c>
      <c r="J39" s="33" t="s">
        <v>60</v>
      </c>
      <c r="K39" s="34">
        <f>IF(J39=[16]Legend!$A$66,[16]Legend!$B$66,(IF(J39=[16]Legend!$A$67,[16]Legend!$B$67,IF(J39=[16]Legend!$A$68, [16]Legend!$B$68, IF(J39=[16]Legend!$A$69, [16]Legend!$B$69, IF(J39=[16]Legend!$A$70, [16]Legend!$B$70, IF(J39=[16]Legend!$A$71, [16]Legend!$B$71, IF(J39=[16]Legend!$A$72, [16]Legend!$B$72, (IF(J39=[16]Legend!$A$73, [16]Legend!$B$73, IF(J39=[16]Legend!$A$74, [16]Legend!$B$74, "")))))))))))</f>
        <v>25</v>
      </c>
      <c r="L39" s="33">
        <v>25</v>
      </c>
      <c r="M39" s="33"/>
      <c r="N39" s="33"/>
      <c r="O39" s="33"/>
    </row>
    <row r="40" spans="1:15" ht="14" customHeight="1" x14ac:dyDescent="0.45">
      <c r="A40" s="32">
        <v>45525</v>
      </c>
      <c r="B40" s="33" t="s">
        <v>85</v>
      </c>
      <c r="C40" s="33" t="s">
        <v>93</v>
      </c>
      <c r="D40" s="33">
        <v>1</v>
      </c>
      <c r="E40" s="33">
        <v>3</v>
      </c>
      <c r="F40" s="33">
        <v>1</v>
      </c>
      <c r="G40" s="32">
        <v>45548</v>
      </c>
      <c r="H40" s="33" t="s">
        <v>43</v>
      </c>
      <c r="I40" s="33">
        <v>1</v>
      </c>
      <c r="J40" s="33" t="s">
        <v>69</v>
      </c>
      <c r="K40" s="34">
        <f>IF(J40=[16]Legend!$A$66,[16]Legend!$B$66,(IF(J40=[16]Legend!$A$67,[16]Legend!$B$67,IF(J40=[16]Legend!$A$68, [16]Legend!$B$68, IF(J40=[16]Legend!$A$69, [16]Legend!$B$69, IF(J40=[16]Legend!$A$70, [16]Legend!$B$70, IF(J40=[16]Legend!$A$71, [16]Legend!$B$71, IF(J40=[16]Legend!$A$72, [16]Legend!$B$72, (IF(J40=[16]Legend!$A$73, [16]Legend!$B$73, IF(J40=[16]Legend!$A$74, [16]Legend!$B$74, "")))))))))))</f>
        <v>120</v>
      </c>
      <c r="L40" s="33">
        <v>119</v>
      </c>
      <c r="M40" s="33"/>
      <c r="N40" s="33"/>
      <c r="O40" s="33"/>
    </row>
    <row r="41" spans="1:15" ht="14" customHeight="1" x14ac:dyDescent="0.45">
      <c r="A41" s="32">
        <v>45525</v>
      </c>
      <c r="B41" s="33" t="s">
        <v>85</v>
      </c>
      <c r="C41" s="33" t="s">
        <v>93</v>
      </c>
      <c r="D41" s="33">
        <v>1</v>
      </c>
      <c r="E41" s="33">
        <v>3</v>
      </c>
      <c r="F41" s="33">
        <v>2</v>
      </c>
      <c r="G41" s="32">
        <v>45548</v>
      </c>
      <c r="H41" s="33" t="s">
        <v>43</v>
      </c>
      <c r="I41" s="33">
        <v>1</v>
      </c>
      <c r="J41" s="33" t="s">
        <v>18</v>
      </c>
      <c r="K41" s="34">
        <f>IF(J41=[16]Legend!$A$66,[16]Legend!$B$66,(IF(J41=[16]Legend!$A$67,[16]Legend!$B$67,IF(J41=[16]Legend!$A$68, [16]Legend!$B$68, IF(J41=[16]Legend!$A$69, [16]Legend!$B$69, IF(J41=[16]Legend!$A$70, [16]Legend!$B$70, IF(J41=[16]Legend!$A$71, [16]Legend!$B$71, IF(J41=[16]Legend!$A$72, [16]Legend!$B$72, (IF(J41=[16]Legend!$A$73, [16]Legend!$B$73, IF(J41=[16]Legend!$A$74, [16]Legend!$B$74, "")))))))))))</f>
        <v>5</v>
      </c>
      <c r="L41" s="33">
        <v>5</v>
      </c>
      <c r="M41" s="33"/>
      <c r="N41" s="33"/>
      <c r="O41" s="33"/>
    </row>
    <row r="42" spans="1:15" ht="14" customHeight="1" x14ac:dyDescent="0.45">
      <c r="A42" s="32">
        <v>45525</v>
      </c>
      <c r="B42" s="33" t="s">
        <v>85</v>
      </c>
      <c r="C42" s="33" t="s">
        <v>93</v>
      </c>
      <c r="D42" s="33">
        <v>1</v>
      </c>
      <c r="E42" s="33">
        <v>3</v>
      </c>
      <c r="F42" s="33">
        <v>2</v>
      </c>
      <c r="G42" s="32">
        <v>45548</v>
      </c>
      <c r="H42" s="33" t="s">
        <v>43</v>
      </c>
      <c r="I42" s="33">
        <v>1</v>
      </c>
      <c r="J42" s="33" t="s">
        <v>60</v>
      </c>
      <c r="K42" s="34">
        <f>IF(J42=[16]Legend!$A$66,[16]Legend!$B$66,(IF(J42=[16]Legend!$A$67,[16]Legend!$B$67,IF(J42=[16]Legend!$A$68, [16]Legend!$B$68, IF(J42=[16]Legend!$A$69, [16]Legend!$B$69, IF(J42=[16]Legend!$A$70, [16]Legend!$B$70, IF(J42=[16]Legend!$A$71, [16]Legend!$B$71, IF(J42=[16]Legend!$A$72, [16]Legend!$B$72, (IF(J42=[16]Legend!$A$73, [16]Legend!$B$73, IF(J42=[16]Legend!$A$74, [16]Legend!$B$74, "")))))))))))</f>
        <v>25</v>
      </c>
      <c r="L42" s="33">
        <v>25</v>
      </c>
      <c r="M42" s="33"/>
      <c r="N42" s="33"/>
      <c r="O42" s="33"/>
    </row>
    <row r="43" spans="1:15" ht="14" customHeight="1" x14ac:dyDescent="0.45">
      <c r="A43" s="32">
        <v>45525</v>
      </c>
      <c r="B43" s="33" t="s">
        <v>85</v>
      </c>
      <c r="C43" s="33" t="s">
        <v>93</v>
      </c>
      <c r="D43" s="33">
        <v>1</v>
      </c>
      <c r="E43" s="33">
        <v>3</v>
      </c>
      <c r="F43" s="33">
        <v>2</v>
      </c>
      <c r="G43" s="32">
        <v>45548</v>
      </c>
      <c r="H43" s="33" t="s">
        <v>43</v>
      </c>
      <c r="I43" s="33">
        <v>1</v>
      </c>
      <c r="J43" s="33" t="s">
        <v>69</v>
      </c>
      <c r="K43" s="34">
        <f>IF(J43=[16]Legend!$A$66,[16]Legend!$B$66,(IF(J43=[16]Legend!$A$67,[16]Legend!$B$67,IF(J43=[16]Legend!$A$68, [16]Legend!$B$68, IF(J43=[16]Legend!$A$69, [16]Legend!$B$69, IF(J43=[16]Legend!$A$70, [16]Legend!$B$70, IF(J43=[16]Legend!$A$71, [16]Legend!$B$71, IF(J43=[16]Legend!$A$72, [16]Legend!$B$72, (IF(J43=[16]Legend!$A$73, [16]Legend!$B$73, IF(J43=[16]Legend!$A$74, [16]Legend!$B$74, "")))))))))))</f>
        <v>120</v>
      </c>
      <c r="L43" s="33">
        <v>118</v>
      </c>
      <c r="M43" s="33"/>
      <c r="N43" s="33"/>
      <c r="O43" s="33"/>
    </row>
    <row r="44" spans="1:15" ht="14" customHeight="1" x14ac:dyDescent="0.45">
      <c r="A44" s="35">
        <v>45532</v>
      </c>
      <c r="B44" s="36" t="s">
        <v>85</v>
      </c>
      <c r="C44" s="36" t="s">
        <v>90</v>
      </c>
      <c r="D44" s="36">
        <v>2</v>
      </c>
      <c r="E44" s="36">
        <v>3</v>
      </c>
      <c r="F44" s="36">
        <v>1</v>
      </c>
      <c r="G44" s="35">
        <v>45560</v>
      </c>
      <c r="H44" s="36" t="s">
        <v>43</v>
      </c>
      <c r="I44" s="36">
        <v>1</v>
      </c>
      <c r="J44" s="37" t="s">
        <v>18</v>
      </c>
      <c r="K44" s="34">
        <f>IF(J44=[5]Legend!$A$66,[5]Legend!$B$66,(IF(J44=[5]Legend!$A$67,[5]Legend!$B$67,IF(J44=[5]Legend!$A$68, [5]Legend!$B$68, IF(J44=[5]Legend!$A$69, [5]Legend!$B$69, IF(J44=[5]Legend!$A$70, [5]Legend!$B$70, IF(J44=[5]Legend!$A$71, [5]Legend!$B$71, IF(J44=[5]Legend!$A$72, [5]Legend!$B$72, (IF(J44=[5]Legend!$A$73, [5]Legend!$B$73, IF(J44=[5]Legend!$A$74, [5]Legend!$B$74, "")))))))))))</f>
        <v>5</v>
      </c>
      <c r="L44" s="39">
        <v>5</v>
      </c>
      <c r="M44" s="36"/>
      <c r="N44" s="36"/>
      <c r="O44" s="36"/>
    </row>
    <row r="45" spans="1:15" ht="14" customHeight="1" x14ac:dyDescent="0.45">
      <c r="A45" s="35">
        <v>45532</v>
      </c>
      <c r="B45" s="36" t="s">
        <v>85</v>
      </c>
      <c r="C45" s="36" t="s">
        <v>90</v>
      </c>
      <c r="D45" s="36">
        <v>2</v>
      </c>
      <c r="E45" s="36">
        <v>3</v>
      </c>
      <c r="F45" s="36">
        <v>1</v>
      </c>
      <c r="G45" s="35">
        <v>45560</v>
      </c>
      <c r="H45" s="36" t="s">
        <v>43</v>
      </c>
      <c r="I45" s="36">
        <v>1</v>
      </c>
      <c r="J45" s="37" t="s">
        <v>60</v>
      </c>
      <c r="K45" s="34">
        <f>IF(J45=[5]Legend!$A$66,[5]Legend!$B$66,(IF(J45=[5]Legend!$A$67,[5]Legend!$B$67,IF(J45=[5]Legend!$A$68, [5]Legend!$B$68, IF(J45=[5]Legend!$A$69, [5]Legend!$B$69, IF(J45=[5]Legend!$A$70, [5]Legend!$B$70, IF(J45=[5]Legend!$A$71, [5]Legend!$B$71, IF(J45=[5]Legend!$A$72, [5]Legend!$B$72, (IF(J45=[5]Legend!$A$73, [5]Legend!$B$73, IF(J45=[5]Legend!$A$74, [5]Legend!$B$74, "")))))))))))</f>
        <v>25</v>
      </c>
      <c r="L45" s="36">
        <v>25</v>
      </c>
      <c r="M45" s="36"/>
      <c r="N45" s="36"/>
      <c r="O45" s="36"/>
    </row>
    <row r="46" spans="1:15" ht="14" customHeight="1" x14ac:dyDescent="0.45">
      <c r="A46" s="35">
        <v>45532</v>
      </c>
      <c r="B46" s="36" t="s">
        <v>85</v>
      </c>
      <c r="C46" s="36" t="s">
        <v>90</v>
      </c>
      <c r="D46" s="36">
        <v>2</v>
      </c>
      <c r="E46" s="36">
        <v>3</v>
      </c>
      <c r="F46" s="36">
        <v>1</v>
      </c>
      <c r="G46" s="35">
        <v>45560</v>
      </c>
      <c r="H46" s="36" t="s">
        <v>43</v>
      </c>
      <c r="I46" s="36">
        <v>1</v>
      </c>
      <c r="J46" s="37" t="s">
        <v>69</v>
      </c>
      <c r="K46" s="34">
        <f>IF(J46=[5]Legend!$A$66,[5]Legend!$B$66,(IF(J46=[5]Legend!$A$67,[5]Legend!$B$67,IF(J46=[5]Legend!$A$68, [5]Legend!$B$68, IF(J46=[5]Legend!$A$69, [5]Legend!$B$69, IF(J46=[5]Legend!$A$70, [5]Legend!$B$70, IF(J46=[5]Legend!$A$71, [5]Legend!$B$71, IF(J46=[5]Legend!$A$72, [5]Legend!$B$72, (IF(J46=[5]Legend!$A$73, [5]Legend!$B$73, IF(J46=[5]Legend!$A$74, [5]Legend!$B$74, "")))))))))))</f>
        <v>120</v>
      </c>
      <c r="L46" s="36">
        <v>120</v>
      </c>
      <c r="M46" s="36"/>
      <c r="N46" s="36"/>
      <c r="O46" s="36" t="s">
        <v>104</v>
      </c>
    </row>
    <row r="47" spans="1:15" ht="14" customHeight="1" x14ac:dyDescent="0.45">
      <c r="A47" s="35">
        <v>45532</v>
      </c>
      <c r="B47" s="36" t="s">
        <v>85</v>
      </c>
      <c r="C47" s="36" t="s">
        <v>90</v>
      </c>
      <c r="D47" s="36">
        <v>2</v>
      </c>
      <c r="E47" s="36">
        <v>3</v>
      </c>
      <c r="F47" s="36">
        <v>2</v>
      </c>
      <c r="G47" s="35">
        <v>45560</v>
      </c>
      <c r="H47" s="36" t="s">
        <v>43</v>
      </c>
      <c r="I47" s="36">
        <v>1</v>
      </c>
      <c r="J47" s="37" t="s">
        <v>18</v>
      </c>
      <c r="K47" s="34">
        <f>IF(J47=[5]Legend!$A$66,[5]Legend!$B$66,(IF(J47=[5]Legend!$A$67,[5]Legend!$B$67,IF(J47=[5]Legend!$A$68, [5]Legend!$B$68, IF(J47=[5]Legend!$A$69, [5]Legend!$B$69, IF(J47=[5]Legend!$A$70, [5]Legend!$B$70, IF(J47=[5]Legend!$A$71, [5]Legend!$B$71, IF(J47=[5]Legend!$A$72, [5]Legend!$B$72, (IF(J47=[5]Legend!$A$73, [5]Legend!$B$73, IF(J47=[5]Legend!$A$74, [5]Legend!$B$74, "")))))))))))</f>
        <v>5</v>
      </c>
      <c r="L47" s="36">
        <v>5</v>
      </c>
      <c r="M47" s="36"/>
      <c r="N47" s="36"/>
      <c r="O47" s="36"/>
    </row>
    <row r="48" spans="1:15" ht="14" customHeight="1" x14ac:dyDescent="0.45">
      <c r="A48" s="35">
        <v>45532</v>
      </c>
      <c r="B48" s="36" t="s">
        <v>85</v>
      </c>
      <c r="C48" s="36" t="s">
        <v>90</v>
      </c>
      <c r="D48" s="36">
        <v>2</v>
      </c>
      <c r="E48" s="36">
        <v>3</v>
      </c>
      <c r="F48" s="36">
        <v>2</v>
      </c>
      <c r="G48" s="35">
        <v>45560</v>
      </c>
      <c r="H48" s="36" t="s">
        <v>43</v>
      </c>
      <c r="I48" s="36">
        <v>1</v>
      </c>
      <c r="J48" s="37" t="s">
        <v>60</v>
      </c>
      <c r="K48" s="34">
        <f>IF(J48=[5]Legend!$A$66,[5]Legend!$B$66,(IF(J48=[5]Legend!$A$67,[5]Legend!$B$67,IF(J48=[5]Legend!$A$68, [5]Legend!$B$68, IF(J48=[5]Legend!$A$69, [5]Legend!$B$69, IF(J48=[5]Legend!$A$70, [5]Legend!$B$70, IF(J48=[5]Legend!$A$71, [5]Legend!$B$71, IF(J48=[5]Legend!$A$72, [5]Legend!$B$72, (IF(J48=[5]Legend!$A$73, [5]Legend!$B$73, IF(J48=[5]Legend!$A$74, [5]Legend!$B$74, "")))))))))))</f>
        <v>25</v>
      </c>
      <c r="L48" s="36">
        <v>24</v>
      </c>
      <c r="M48" s="36"/>
      <c r="N48" s="36"/>
      <c r="O48" s="36"/>
    </row>
    <row r="49" spans="1:15" ht="14" customHeight="1" x14ac:dyDescent="0.45">
      <c r="A49" s="35">
        <v>45532</v>
      </c>
      <c r="B49" s="36" t="s">
        <v>85</v>
      </c>
      <c r="C49" s="36" t="s">
        <v>90</v>
      </c>
      <c r="D49" s="36">
        <v>2</v>
      </c>
      <c r="E49" s="36">
        <v>3</v>
      </c>
      <c r="F49" s="36">
        <v>2</v>
      </c>
      <c r="G49" s="35">
        <v>45560</v>
      </c>
      <c r="H49" s="36" t="s">
        <v>43</v>
      </c>
      <c r="I49" s="36">
        <v>1</v>
      </c>
      <c r="J49" s="37" t="s">
        <v>69</v>
      </c>
      <c r="K49" s="34">
        <f>IF(J49=[5]Legend!$A$66,[5]Legend!$B$66,(IF(J49=[5]Legend!$A$67,[5]Legend!$B$67,IF(J49=[5]Legend!$A$68, [5]Legend!$B$68, IF(J49=[5]Legend!$A$69, [5]Legend!$B$69, IF(J49=[5]Legend!$A$70, [5]Legend!$B$70, IF(J49=[5]Legend!$A$71, [5]Legend!$B$71, IF(J49=[5]Legend!$A$72, [5]Legend!$B$72, (IF(J49=[5]Legend!$A$73, [5]Legend!$B$73, IF(J49=[5]Legend!$A$74, [5]Legend!$B$74, "")))))))))))</f>
        <v>120</v>
      </c>
      <c r="L49" s="36">
        <v>130</v>
      </c>
      <c r="M49" s="36"/>
      <c r="N49" s="36"/>
      <c r="O49" s="36"/>
    </row>
    <row r="50" spans="1:15" ht="14" customHeight="1" x14ac:dyDescent="0.45">
      <c r="A50" s="32">
        <v>9014</v>
      </c>
      <c r="B50" s="33" t="s">
        <v>85</v>
      </c>
      <c r="C50" s="33" t="s">
        <v>43</v>
      </c>
      <c r="D50" s="33">
        <v>3</v>
      </c>
      <c r="E50" s="33">
        <v>3</v>
      </c>
      <c r="F50" s="33">
        <v>1</v>
      </c>
      <c r="G50" s="32">
        <v>9036</v>
      </c>
      <c r="H50" s="33" t="s">
        <v>86</v>
      </c>
      <c r="I50" s="33">
        <v>1</v>
      </c>
      <c r="J50" s="33" t="s">
        <v>18</v>
      </c>
      <c r="K50" s="34">
        <f>IF(J50=[2]Legend!$A$66,[2]Legend!$B$66,(IF(J50=[2]Legend!$A$67,[2]Legend!$B$67,IF(J50=[2]Legend!$A$68, [2]Legend!$B$68, IF(J50=[2]Legend!$A$69, [2]Legend!$B$69, IF(J50=[2]Legend!$A$70, [2]Legend!$B$70, IF(J50=[2]Legend!$A$71, [2]Legend!$B$71, IF(J50=[2]Legend!$A$72, [2]Legend!$B$72, (IF(J50=[2]Legend!$A$73, [2]Legend!$B$73, IF(J50=[2]Legend!$A$74, [2]Legend!$B$74, "")))))))))))</f>
        <v>5</v>
      </c>
      <c r="L50" s="33">
        <v>0</v>
      </c>
      <c r="M50" s="33"/>
      <c r="N50" s="33"/>
      <c r="O50" s="33" t="s">
        <v>88</v>
      </c>
    </row>
    <row r="51" spans="1:15" ht="14" customHeight="1" x14ac:dyDescent="0.45">
      <c r="A51" s="32">
        <v>9014</v>
      </c>
      <c r="B51" s="33" t="s">
        <v>85</v>
      </c>
      <c r="C51" s="33" t="s">
        <v>43</v>
      </c>
      <c r="D51" s="33">
        <v>3</v>
      </c>
      <c r="E51" s="33">
        <v>3</v>
      </c>
      <c r="F51" s="33">
        <v>1</v>
      </c>
      <c r="G51" s="32">
        <v>9036</v>
      </c>
      <c r="H51" s="33" t="s">
        <v>86</v>
      </c>
      <c r="I51" s="33">
        <v>1</v>
      </c>
      <c r="J51" s="33" t="s">
        <v>60</v>
      </c>
      <c r="K51" s="34">
        <f>IF(J51=[2]Legend!$A$66,[2]Legend!$B$66,(IF(J51=[2]Legend!$A$67,[2]Legend!$B$67,IF(J51=[2]Legend!$A$68, [2]Legend!$B$68, IF(J51=[2]Legend!$A$69, [2]Legend!$B$69, IF(J51=[2]Legend!$A$70, [2]Legend!$B$70, IF(J51=[2]Legend!$A$71, [2]Legend!$B$71, IF(J51=[2]Legend!$A$72, [2]Legend!$B$72, (IF(J51=[2]Legend!$A$73, [2]Legend!$B$73, IF(J51=[2]Legend!$A$74, [2]Legend!$B$74, "")))))))))))</f>
        <v>25</v>
      </c>
      <c r="L51" s="33">
        <v>6</v>
      </c>
      <c r="M51" s="33">
        <v>6</v>
      </c>
      <c r="N51" s="33" t="s">
        <v>23</v>
      </c>
      <c r="O51" s="33" t="s">
        <v>88</v>
      </c>
    </row>
    <row r="52" spans="1:15" ht="14" customHeight="1" x14ac:dyDescent="0.45">
      <c r="A52" s="32">
        <v>9014</v>
      </c>
      <c r="B52" s="33" t="s">
        <v>85</v>
      </c>
      <c r="C52" s="33" t="s">
        <v>43</v>
      </c>
      <c r="D52" s="33">
        <v>3</v>
      </c>
      <c r="E52" s="33">
        <v>3</v>
      </c>
      <c r="F52" s="33">
        <v>1</v>
      </c>
      <c r="G52" s="32">
        <v>9036</v>
      </c>
      <c r="H52" s="33" t="s">
        <v>86</v>
      </c>
      <c r="I52" s="33">
        <v>1</v>
      </c>
      <c r="J52" s="33" t="s">
        <v>69</v>
      </c>
      <c r="K52" s="34">
        <f>IF(J52=[2]Legend!$A$66,[2]Legend!$B$66,(IF(J52=[2]Legend!$A$67,[2]Legend!$B$67,IF(J52=[2]Legend!$A$68, [2]Legend!$B$68, IF(J52=[2]Legend!$A$69, [2]Legend!$B$69, IF(J52=[2]Legend!$A$70, [2]Legend!$B$70, IF(J52=[2]Legend!$A$71, [2]Legend!$B$71, IF(J52=[2]Legend!$A$72, [2]Legend!$B$72, (IF(J52=[2]Legend!$A$73, [2]Legend!$B$73, IF(J52=[2]Legend!$A$74, [2]Legend!$B$74, "")))))))))))</f>
        <v>120</v>
      </c>
      <c r="L52" s="33">
        <v>44</v>
      </c>
      <c r="M52" s="33">
        <v>42</v>
      </c>
      <c r="N52" s="33" t="s">
        <v>23</v>
      </c>
      <c r="O52" s="33" t="s">
        <v>88</v>
      </c>
    </row>
    <row r="53" spans="1:15" ht="14" customHeight="1" x14ac:dyDescent="0.45">
      <c r="A53" s="32">
        <v>9014</v>
      </c>
      <c r="B53" s="33" t="s">
        <v>85</v>
      </c>
      <c r="C53" s="33" t="s">
        <v>37</v>
      </c>
      <c r="D53" s="33">
        <v>3</v>
      </c>
      <c r="E53" s="33">
        <v>3</v>
      </c>
      <c r="F53" s="33">
        <v>2</v>
      </c>
      <c r="G53" s="32">
        <v>9036</v>
      </c>
      <c r="H53" s="33" t="s">
        <v>86</v>
      </c>
      <c r="I53" s="33">
        <v>1</v>
      </c>
      <c r="J53" s="33" t="s">
        <v>18</v>
      </c>
      <c r="K53" s="34">
        <f>IF(J53=[2]Legend!$A$66,[2]Legend!$B$66,(IF(J53=[2]Legend!$A$67,[2]Legend!$B$67,IF(J53=[2]Legend!$A$68, [2]Legend!$B$68, IF(J53=[2]Legend!$A$69, [2]Legend!$B$69, IF(J53=[2]Legend!$A$70, [2]Legend!$B$70, IF(J53=[2]Legend!$A$71, [2]Legend!$B$71, IF(J53=[2]Legend!$A$72, [2]Legend!$B$72, (IF(J53=[2]Legend!$A$73, [2]Legend!$B$73, IF(J53=[2]Legend!$A$74, [2]Legend!$B$74, "")))))))))))</f>
        <v>5</v>
      </c>
      <c r="L53" s="33">
        <v>5</v>
      </c>
      <c r="M53" s="33">
        <v>1</v>
      </c>
      <c r="N53" s="33" t="s">
        <v>30</v>
      </c>
      <c r="O53" s="33"/>
    </row>
    <row r="54" spans="1:15" ht="14" customHeight="1" x14ac:dyDescent="0.45">
      <c r="A54" s="32">
        <v>9014</v>
      </c>
      <c r="B54" s="33" t="s">
        <v>85</v>
      </c>
      <c r="C54" s="33" t="s">
        <v>37</v>
      </c>
      <c r="D54" s="33">
        <v>3</v>
      </c>
      <c r="E54" s="33">
        <v>3</v>
      </c>
      <c r="F54" s="33">
        <v>2</v>
      </c>
      <c r="G54" s="32">
        <v>9036</v>
      </c>
      <c r="H54" s="33" t="s">
        <v>86</v>
      </c>
      <c r="I54" s="33">
        <v>1</v>
      </c>
      <c r="J54" s="33" t="s">
        <v>60</v>
      </c>
      <c r="K54" s="34">
        <f>IF(J54=[2]Legend!$A$66,[2]Legend!$B$66,(IF(J54=[2]Legend!$A$67,[2]Legend!$B$67,IF(J54=[2]Legend!$A$68, [2]Legend!$B$68, IF(J54=[2]Legend!$A$69, [2]Legend!$B$69, IF(J54=[2]Legend!$A$70, [2]Legend!$B$70, IF(J54=[2]Legend!$A$71, [2]Legend!$B$71, IF(J54=[2]Legend!$A$72, [2]Legend!$B$72, (IF(J54=[2]Legend!$A$73, [2]Legend!$B$73, IF(J54=[2]Legend!$A$74, [2]Legend!$B$74, "")))))))))))</f>
        <v>25</v>
      </c>
      <c r="L54" s="33">
        <v>25</v>
      </c>
      <c r="M54" s="33"/>
      <c r="N54" s="33"/>
      <c r="O54" s="33"/>
    </row>
    <row r="55" spans="1:15" ht="14" customHeight="1" x14ac:dyDescent="0.45">
      <c r="A55" s="32">
        <v>9014</v>
      </c>
      <c r="B55" s="33" t="s">
        <v>85</v>
      </c>
      <c r="C55" s="33" t="s">
        <v>37</v>
      </c>
      <c r="D55" s="33">
        <v>3</v>
      </c>
      <c r="E55" s="33">
        <v>3</v>
      </c>
      <c r="F55" s="33">
        <v>2</v>
      </c>
      <c r="G55" s="32">
        <v>9036</v>
      </c>
      <c r="H55" s="33" t="s">
        <v>86</v>
      </c>
      <c r="I55" s="33">
        <v>1</v>
      </c>
      <c r="J55" s="33" t="s">
        <v>69</v>
      </c>
      <c r="K55" s="34">
        <f>IF(J55=[2]Legend!$A$66,[2]Legend!$B$66,(IF(J55=[2]Legend!$A$67,[2]Legend!$B$67,IF(J55=[2]Legend!$A$68, [2]Legend!$B$68, IF(J55=[2]Legend!$A$69, [2]Legend!$B$69, IF(J55=[2]Legend!$A$70, [2]Legend!$B$70, IF(J55=[2]Legend!$A$71, [2]Legend!$B$71, IF(J55=[2]Legend!$A$72, [2]Legend!$B$72, (IF(J55=[2]Legend!$A$73, [2]Legend!$B$73, IF(J55=[2]Legend!$A$74, [2]Legend!$B$74, "")))))))))))</f>
        <v>120</v>
      </c>
      <c r="L55" s="33">
        <v>118</v>
      </c>
      <c r="M55" s="33">
        <v>1</v>
      </c>
      <c r="N55" s="33" t="s">
        <v>21</v>
      </c>
      <c r="O55" s="33"/>
    </row>
    <row r="56" spans="1:15" ht="14" customHeight="1" x14ac:dyDescent="0.45">
      <c r="A56" s="32">
        <v>45525</v>
      </c>
      <c r="B56" s="33" t="s">
        <v>85</v>
      </c>
      <c r="C56" s="33" t="s">
        <v>93</v>
      </c>
      <c r="D56" s="33">
        <v>1</v>
      </c>
      <c r="E56" s="33">
        <v>4</v>
      </c>
      <c r="F56" s="33">
        <v>1</v>
      </c>
      <c r="G56" s="32">
        <v>45548</v>
      </c>
      <c r="H56" s="33" t="s">
        <v>43</v>
      </c>
      <c r="I56" s="33">
        <v>1</v>
      </c>
      <c r="J56" s="33" t="s">
        <v>18</v>
      </c>
      <c r="K56" s="34">
        <f>IF(J56=[16]Legend!$A$66,[16]Legend!$B$66,(IF(J56=[16]Legend!$A$67,[16]Legend!$B$67,IF(J56=[16]Legend!$A$68, [16]Legend!$B$68, IF(J56=[16]Legend!$A$69, [16]Legend!$B$69, IF(J56=[16]Legend!$A$70, [16]Legend!$B$70, IF(J56=[16]Legend!$A$71, [16]Legend!$B$71, IF(J56=[16]Legend!$A$72, [16]Legend!$B$72, (IF(J56=[16]Legend!$A$73, [16]Legend!$B$73, IF(J56=[16]Legend!$A$74, [16]Legend!$B$74, "")))))))))))</f>
        <v>5</v>
      </c>
      <c r="L56" s="33">
        <v>5</v>
      </c>
      <c r="M56" s="33"/>
      <c r="N56" s="33"/>
      <c r="O56" s="33"/>
    </row>
    <row r="57" spans="1:15" ht="14" customHeight="1" x14ac:dyDescent="0.45">
      <c r="A57" s="32">
        <v>45525</v>
      </c>
      <c r="B57" s="33" t="s">
        <v>85</v>
      </c>
      <c r="C57" s="33" t="s">
        <v>93</v>
      </c>
      <c r="D57" s="33">
        <v>1</v>
      </c>
      <c r="E57" s="33">
        <v>4</v>
      </c>
      <c r="F57" s="33">
        <v>1</v>
      </c>
      <c r="G57" s="32">
        <v>45548</v>
      </c>
      <c r="H57" s="33" t="s">
        <v>43</v>
      </c>
      <c r="I57" s="33">
        <v>1</v>
      </c>
      <c r="J57" s="33" t="s">
        <v>60</v>
      </c>
      <c r="K57" s="34">
        <f>IF(J57=[16]Legend!$A$66,[16]Legend!$B$66,(IF(J57=[16]Legend!$A$67,[16]Legend!$B$67,IF(J57=[16]Legend!$A$68, [16]Legend!$B$68, IF(J57=[16]Legend!$A$69, [16]Legend!$B$69, IF(J57=[16]Legend!$A$70, [16]Legend!$B$70, IF(J57=[16]Legend!$A$71, [16]Legend!$B$71, IF(J57=[16]Legend!$A$72, [16]Legend!$B$72, (IF(J57=[16]Legend!$A$73, [16]Legend!$B$73, IF(J57=[16]Legend!$A$74, [16]Legend!$B$74, "")))))))))))</f>
        <v>25</v>
      </c>
      <c r="L57" s="33">
        <v>25</v>
      </c>
      <c r="M57" s="33"/>
      <c r="N57" s="33"/>
      <c r="O57" s="33"/>
    </row>
    <row r="58" spans="1:15" ht="14" customHeight="1" x14ac:dyDescent="0.45">
      <c r="A58" s="32">
        <v>45525</v>
      </c>
      <c r="B58" s="33" t="s">
        <v>85</v>
      </c>
      <c r="C58" s="33" t="s">
        <v>93</v>
      </c>
      <c r="D58" s="33">
        <v>1</v>
      </c>
      <c r="E58" s="33">
        <v>4</v>
      </c>
      <c r="F58" s="33">
        <v>1</v>
      </c>
      <c r="G58" s="32">
        <v>45548</v>
      </c>
      <c r="H58" s="33" t="s">
        <v>43</v>
      </c>
      <c r="I58" s="33">
        <v>1</v>
      </c>
      <c r="J58" s="33" t="s">
        <v>69</v>
      </c>
      <c r="K58" s="34">
        <f>IF(J58=[16]Legend!$A$66,[16]Legend!$B$66,(IF(J58=[16]Legend!$A$67,[16]Legend!$B$67,IF(J58=[16]Legend!$A$68, [16]Legend!$B$68, IF(J58=[16]Legend!$A$69, [16]Legend!$B$69, IF(J58=[16]Legend!$A$70, [16]Legend!$B$70, IF(J58=[16]Legend!$A$71, [16]Legend!$B$71, IF(J58=[16]Legend!$A$72, [16]Legend!$B$72, (IF(J58=[16]Legend!$A$73, [16]Legend!$B$73, IF(J58=[16]Legend!$A$74, [16]Legend!$B$74, "")))))))))))</f>
        <v>120</v>
      </c>
      <c r="L58" s="33">
        <v>120</v>
      </c>
      <c r="M58" s="33"/>
      <c r="N58" s="33"/>
      <c r="O58" s="33"/>
    </row>
    <row r="59" spans="1:15" ht="14" customHeight="1" x14ac:dyDescent="0.45">
      <c r="A59" s="32">
        <v>45525</v>
      </c>
      <c r="B59" s="33" t="s">
        <v>85</v>
      </c>
      <c r="C59" s="33" t="s">
        <v>93</v>
      </c>
      <c r="D59" s="33">
        <v>1</v>
      </c>
      <c r="E59" s="33">
        <v>4</v>
      </c>
      <c r="F59" s="33">
        <v>2</v>
      </c>
      <c r="G59" s="32">
        <v>45548</v>
      </c>
      <c r="H59" s="33" t="s">
        <v>43</v>
      </c>
      <c r="I59" s="33">
        <v>1</v>
      </c>
      <c r="J59" s="33" t="s">
        <v>18</v>
      </c>
      <c r="K59" s="34">
        <f>IF(J59=[16]Legend!$A$66,[16]Legend!$B$66,(IF(J59=[16]Legend!$A$67,[16]Legend!$B$67,IF(J59=[16]Legend!$A$68, [16]Legend!$B$68, IF(J59=[16]Legend!$A$69, [16]Legend!$B$69, IF(J59=[16]Legend!$A$70, [16]Legend!$B$70, IF(J59=[16]Legend!$A$71, [16]Legend!$B$71, IF(J59=[16]Legend!$A$72, [16]Legend!$B$72, (IF(J59=[16]Legend!$A$73, [16]Legend!$B$73, IF(J59=[16]Legend!$A$74, [16]Legend!$B$74, "")))))))))))</f>
        <v>5</v>
      </c>
      <c r="L59" s="33">
        <v>4</v>
      </c>
      <c r="M59" s="33"/>
      <c r="N59" s="33"/>
      <c r="O59" s="33"/>
    </row>
    <row r="60" spans="1:15" ht="14" customHeight="1" x14ac:dyDescent="0.45">
      <c r="A60" s="32">
        <v>45525</v>
      </c>
      <c r="B60" s="33" t="s">
        <v>85</v>
      </c>
      <c r="C60" s="33" t="s">
        <v>93</v>
      </c>
      <c r="D60" s="33">
        <v>1</v>
      </c>
      <c r="E60" s="33">
        <v>4</v>
      </c>
      <c r="F60" s="33">
        <v>2</v>
      </c>
      <c r="G60" s="32">
        <v>45548</v>
      </c>
      <c r="H60" s="33" t="s">
        <v>43</v>
      </c>
      <c r="I60" s="33">
        <v>1</v>
      </c>
      <c r="J60" s="33" t="s">
        <v>60</v>
      </c>
      <c r="K60" s="34">
        <f>IF(J60=[16]Legend!$A$66,[16]Legend!$B$66,(IF(J60=[16]Legend!$A$67,[16]Legend!$B$67,IF(J60=[16]Legend!$A$68, [16]Legend!$B$68, IF(J60=[16]Legend!$A$69, [16]Legend!$B$69, IF(J60=[16]Legend!$A$70, [16]Legend!$B$70, IF(J60=[16]Legend!$A$71, [16]Legend!$B$71, IF(J60=[16]Legend!$A$72, [16]Legend!$B$72, (IF(J60=[16]Legend!$A$73, [16]Legend!$B$73, IF(J60=[16]Legend!$A$74, [16]Legend!$B$74, "")))))))))))</f>
        <v>25</v>
      </c>
      <c r="L60" s="33">
        <v>25</v>
      </c>
      <c r="M60" s="33"/>
      <c r="N60" s="33"/>
      <c r="O60" s="33"/>
    </row>
    <row r="61" spans="1:15" ht="14" customHeight="1" x14ac:dyDescent="0.45">
      <c r="A61" s="32">
        <v>45525</v>
      </c>
      <c r="B61" s="33" t="s">
        <v>85</v>
      </c>
      <c r="C61" s="33" t="s">
        <v>93</v>
      </c>
      <c r="D61" s="33">
        <v>1</v>
      </c>
      <c r="E61" s="33">
        <v>4</v>
      </c>
      <c r="F61" s="33">
        <v>2</v>
      </c>
      <c r="G61" s="32">
        <v>45548</v>
      </c>
      <c r="H61" s="33" t="s">
        <v>43</v>
      </c>
      <c r="I61" s="33">
        <v>1</v>
      </c>
      <c r="J61" s="33" t="s">
        <v>69</v>
      </c>
      <c r="K61" s="34">
        <f>IF(J61=[16]Legend!$A$66,[16]Legend!$B$66,(IF(J61=[16]Legend!$A$67,[16]Legend!$B$67,IF(J61=[16]Legend!$A$68, [16]Legend!$B$68, IF(J61=[16]Legend!$A$69, [16]Legend!$B$69, IF(J61=[16]Legend!$A$70, [16]Legend!$B$70, IF(J61=[16]Legend!$A$71, [16]Legend!$B$71, IF(J61=[16]Legend!$A$72, [16]Legend!$B$72, (IF(J61=[16]Legend!$A$73, [16]Legend!$B$73, IF(J61=[16]Legend!$A$74, [16]Legend!$B$74, "")))))))))))</f>
        <v>120</v>
      </c>
      <c r="L61" s="33">
        <v>116</v>
      </c>
      <c r="M61" s="33"/>
      <c r="N61" s="33"/>
      <c r="O61" s="33"/>
    </row>
    <row r="62" spans="1:15" ht="14" customHeight="1" x14ac:dyDescent="0.45">
      <c r="A62" s="35">
        <v>45532</v>
      </c>
      <c r="B62" s="36" t="s">
        <v>85</v>
      </c>
      <c r="C62" s="36" t="s">
        <v>90</v>
      </c>
      <c r="D62" s="36">
        <v>2</v>
      </c>
      <c r="E62" s="36">
        <v>4</v>
      </c>
      <c r="F62" s="36">
        <v>1</v>
      </c>
      <c r="G62" s="35">
        <v>45560</v>
      </c>
      <c r="H62" s="36" t="s">
        <v>43</v>
      </c>
      <c r="I62" s="36">
        <v>1</v>
      </c>
      <c r="J62" s="37" t="s">
        <v>18</v>
      </c>
      <c r="K62" s="34">
        <f>IF(J62=[5]Legend!$A$66,[5]Legend!$B$66,(IF(J62=[5]Legend!$A$67,[5]Legend!$B$67,IF(J62=[5]Legend!$A$68, [5]Legend!$B$68, IF(J62=[5]Legend!$A$69, [5]Legend!$B$69, IF(J62=[5]Legend!$A$70, [5]Legend!$B$70, IF(J62=[5]Legend!$A$71, [5]Legend!$B$71, IF(J62=[5]Legend!$A$72, [5]Legend!$B$72, (IF(J62=[5]Legend!$A$73, [5]Legend!$B$73, IF(J62=[5]Legend!$A$74, [5]Legend!$B$74, "")))))))))))</f>
        <v>5</v>
      </c>
      <c r="L62" s="36">
        <v>0</v>
      </c>
      <c r="M62" s="36"/>
      <c r="N62" s="36"/>
      <c r="O62" s="36"/>
    </row>
    <row r="63" spans="1:15" ht="14" customHeight="1" x14ac:dyDescent="0.45">
      <c r="A63" s="35">
        <v>45532</v>
      </c>
      <c r="B63" s="36" t="s">
        <v>85</v>
      </c>
      <c r="C63" s="36" t="s">
        <v>90</v>
      </c>
      <c r="D63" s="36">
        <v>2</v>
      </c>
      <c r="E63" s="36">
        <v>4</v>
      </c>
      <c r="F63" s="36">
        <v>1</v>
      </c>
      <c r="G63" s="35">
        <v>45560</v>
      </c>
      <c r="H63" s="36" t="s">
        <v>43</v>
      </c>
      <c r="I63" s="36">
        <v>1</v>
      </c>
      <c r="J63" s="37" t="s">
        <v>60</v>
      </c>
      <c r="K63" s="34">
        <f>IF(J63=[5]Legend!$A$66,[5]Legend!$B$66,(IF(J63=[5]Legend!$A$67,[5]Legend!$B$67,IF(J63=[5]Legend!$A$68, [5]Legend!$B$68, IF(J63=[5]Legend!$A$69, [5]Legend!$B$69, IF(J63=[5]Legend!$A$70, [5]Legend!$B$70, IF(J63=[5]Legend!$A$71, [5]Legend!$B$71, IF(J63=[5]Legend!$A$72, [5]Legend!$B$72, (IF(J63=[5]Legend!$A$73, [5]Legend!$B$73, IF(J63=[5]Legend!$A$74, [5]Legend!$B$74, "")))))))))))</f>
        <v>25</v>
      </c>
      <c r="L63" s="36">
        <v>25</v>
      </c>
      <c r="M63" s="36"/>
      <c r="N63" s="36"/>
      <c r="O63" s="36"/>
    </row>
    <row r="64" spans="1:15" ht="14" customHeight="1" x14ac:dyDescent="0.45">
      <c r="A64" s="35">
        <v>45532</v>
      </c>
      <c r="B64" s="36" t="s">
        <v>85</v>
      </c>
      <c r="C64" s="36" t="s">
        <v>90</v>
      </c>
      <c r="D64" s="36">
        <v>2</v>
      </c>
      <c r="E64" s="36">
        <v>4</v>
      </c>
      <c r="F64" s="36">
        <v>1</v>
      </c>
      <c r="G64" s="35">
        <v>45560</v>
      </c>
      <c r="H64" s="36" t="s">
        <v>43</v>
      </c>
      <c r="I64" s="36">
        <v>1</v>
      </c>
      <c r="J64" s="37" t="s">
        <v>69</v>
      </c>
      <c r="K64" s="34">
        <f>IF(J64=[5]Legend!$A$66,[5]Legend!$B$66,(IF(J64=[5]Legend!$A$67,[5]Legend!$B$67,IF(J64=[5]Legend!$A$68, [5]Legend!$B$68, IF(J64=[5]Legend!$A$69, [5]Legend!$B$69, IF(J64=[5]Legend!$A$70, [5]Legend!$B$70, IF(J64=[5]Legend!$A$71, [5]Legend!$B$71, IF(J64=[5]Legend!$A$72, [5]Legend!$B$72, (IF(J64=[5]Legend!$A$73, [5]Legend!$B$73, IF(J64=[5]Legend!$A$74, [5]Legend!$B$74, "")))))))))))</f>
        <v>120</v>
      </c>
      <c r="L64" s="36">
        <v>7</v>
      </c>
      <c r="M64" s="36"/>
      <c r="N64" s="36"/>
      <c r="O64" s="36" t="s">
        <v>105</v>
      </c>
    </row>
    <row r="65" spans="1:15" ht="14" customHeight="1" x14ac:dyDescent="0.45">
      <c r="A65" s="35">
        <v>45532</v>
      </c>
      <c r="B65" s="36" t="s">
        <v>85</v>
      </c>
      <c r="C65" s="36" t="s">
        <v>90</v>
      </c>
      <c r="D65" s="36">
        <v>2</v>
      </c>
      <c r="E65" s="36">
        <v>4</v>
      </c>
      <c r="F65" s="36">
        <v>2</v>
      </c>
      <c r="G65" s="35">
        <v>45560</v>
      </c>
      <c r="H65" s="36" t="s">
        <v>43</v>
      </c>
      <c r="I65" s="36">
        <v>1</v>
      </c>
      <c r="J65" s="37" t="s">
        <v>18</v>
      </c>
      <c r="K65" s="34">
        <f>IF(J65=[5]Legend!$A$66,[5]Legend!$B$66,(IF(J65=[5]Legend!$A$67,[5]Legend!$B$67,IF(J65=[5]Legend!$A$68, [5]Legend!$B$68, IF(J65=[5]Legend!$A$69, [5]Legend!$B$69, IF(J65=[5]Legend!$A$70, [5]Legend!$B$70, IF(J65=[5]Legend!$A$71, [5]Legend!$B$71, IF(J65=[5]Legend!$A$72, [5]Legend!$B$72, (IF(J65=[5]Legend!$A$73, [5]Legend!$B$73, IF(J65=[5]Legend!$A$74, [5]Legend!$B$74, "")))))))))))</f>
        <v>5</v>
      </c>
      <c r="L65" s="36">
        <v>5</v>
      </c>
      <c r="M65" s="36"/>
      <c r="N65" s="36"/>
      <c r="O65" s="36"/>
    </row>
    <row r="66" spans="1:15" ht="14" customHeight="1" x14ac:dyDescent="0.45">
      <c r="A66" s="35">
        <v>45532</v>
      </c>
      <c r="B66" s="36" t="s">
        <v>85</v>
      </c>
      <c r="C66" s="36" t="s">
        <v>90</v>
      </c>
      <c r="D66" s="36">
        <v>2</v>
      </c>
      <c r="E66" s="36">
        <v>4</v>
      </c>
      <c r="F66" s="36">
        <v>2</v>
      </c>
      <c r="G66" s="35">
        <v>45560</v>
      </c>
      <c r="H66" s="36" t="s">
        <v>43</v>
      </c>
      <c r="I66" s="36">
        <v>1</v>
      </c>
      <c r="J66" s="37" t="s">
        <v>60</v>
      </c>
      <c r="K66" s="34">
        <f>IF(J66=[5]Legend!$A$66,[5]Legend!$B$66,(IF(J66=[5]Legend!$A$67,[5]Legend!$B$67,IF(J66=[5]Legend!$A$68, [5]Legend!$B$68, IF(J66=[5]Legend!$A$69, [5]Legend!$B$69, IF(J66=[5]Legend!$A$70, [5]Legend!$B$70, IF(J66=[5]Legend!$A$71, [5]Legend!$B$71, IF(J66=[5]Legend!$A$72, [5]Legend!$B$72, (IF(J66=[5]Legend!$A$73, [5]Legend!$B$73, IF(J66=[5]Legend!$A$74, [5]Legend!$B$74, "")))))))))))</f>
        <v>25</v>
      </c>
      <c r="L66" s="36">
        <v>25</v>
      </c>
      <c r="M66" s="36"/>
      <c r="N66" s="36"/>
      <c r="O66" s="36"/>
    </row>
    <row r="67" spans="1:15" ht="14" customHeight="1" x14ac:dyDescent="0.45">
      <c r="A67" s="35">
        <v>45532</v>
      </c>
      <c r="B67" s="36" t="s">
        <v>85</v>
      </c>
      <c r="C67" s="36" t="s">
        <v>90</v>
      </c>
      <c r="D67" s="36">
        <v>2</v>
      </c>
      <c r="E67" s="36">
        <v>4</v>
      </c>
      <c r="F67" s="36">
        <v>2</v>
      </c>
      <c r="G67" s="35">
        <v>45560</v>
      </c>
      <c r="H67" s="36" t="s">
        <v>43</v>
      </c>
      <c r="I67" s="36">
        <v>1</v>
      </c>
      <c r="J67" s="37" t="s">
        <v>69</v>
      </c>
      <c r="K67" s="34">
        <f>IF(J67=[5]Legend!$A$66,[5]Legend!$B$66,(IF(J67=[5]Legend!$A$67,[5]Legend!$B$67,IF(J67=[5]Legend!$A$68, [5]Legend!$B$68, IF(J67=[5]Legend!$A$69, [5]Legend!$B$69, IF(J67=[5]Legend!$A$70, [5]Legend!$B$70, IF(J67=[5]Legend!$A$71, [5]Legend!$B$71, IF(J67=[5]Legend!$A$72, [5]Legend!$B$72, (IF(J67=[5]Legend!$A$73, [5]Legend!$B$73, IF(J67=[5]Legend!$A$74, [5]Legend!$B$74, "")))))))))))</f>
        <v>120</v>
      </c>
      <c r="L67" s="36">
        <v>119</v>
      </c>
      <c r="M67" s="36"/>
      <c r="N67" s="36"/>
      <c r="O67" s="36" t="s">
        <v>106</v>
      </c>
    </row>
    <row r="68" spans="1:15" ht="14" customHeight="1" x14ac:dyDescent="0.45">
      <c r="A68" s="32">
        <v>9014</v>
      </c>
      <c r="B68" s="33" t="s">
        <v>85</v>
      </c>
      <c r="C68" s="33" t="s">
        <v>43</v>
      </c>
      <c r="D68" s="33">
        <v>3</v>
      </c>
      <c r="E68" s="33">
        <v>4</v>
      </c>
      <c r="F68" s="33">
        <v>1</v>
      </c>
      <c r="G68" s="32">
        <v>9036</v>
      </c>
      <c r="H68" s="33" t="s">
        <v>86</v>
      </c>
      <c r="I68" s="33">
        <v>1</v>
      </c>
      <c r="J68" s="33" t="s">
        <v>18</v>
      </c>
      <c r="K68" s="34">
        <f>IF(J68=[2]Legend!$A$66,[2]Legend!$B$66,(IF(J68=[2]Legend!$A$67,[2]Legend!$B$67,IF(J68=[2]Legend!$A$68, [2]Legend!$B$68, IF(J68=[2]Legend!$A$69, [2]Legend!$B$69, IF(J68=[2]Legend!$A$70, [2]Legend!$B$70, IF(J68=[2]Legend!$A$71, [2]Legend!$B$71, IF(J68=[2]Legend!$A$72, [2]Legend!$B$72, (IF(J68=[2]Legend!$A$73, [2]Legend!$B$73, IF(J68=[2]Legend!$A$74, [2]Legend!$B$74, "")))))))))))</f>
        <v>5</v>
      </c>
      <c r="L68" s="33">
        <v>0</v>
      </c>
      <c r="M68" s="33"/>
      <c r="N68" s="33"/>
      <c r="O68" s="33"/>
    </row>
    <row r="69" spans="1:15" ht="14" customHeight="1" x14ac:dyDescent="0.45">
      <c r="A69" s="32">
        <v>9014</v>
      </c>
      <c r="B69" s="33" t="s">
        <v>85</v>
      </c>
      <c r="C69" s="33" t="s">
        <v>43</v>
      </c>
      <c r="D69" s="33">
        <v>3</v>
      </c>
      <c r="E69" s="33">
        <v>4</v>
      </c>
      <c r="F69" s="33">
        <v>1</v>
      </c>
      <c r="G69" s="32">
        <v>9036</v>
      </c>
      <c r="H69" s="33" t="s">
        <v>86</v>
      </c>
      <c r="I69" s="33">
        <v>1</v>
      </c>
      <c r="J69" s="33" t="s">
        <v>60</v>
      </c>
      <c r="K69" s="34">
        <f>IF(J69=[2]Legend!$A$66,[2]Legend!$B$66,(IF(J69=[2]Legend!$A$67,[2]Legend!$B$67,IF(J69=[2]Legend!$A$68, [2]Legend!$B$68, IF(J69=[2]Legend!$A$69, [2]Legend!$B$69, IF(J69=[2]Legend!$A$70, [2]Legend!$B$70, IF(J69=[2]Legend!$A$71, [2]Legend!$B$71, IF(J69=[2]Legend!$A$72, [2]Legend!$B$72, (IF(J69=[2]Legend!$A$73, [2]Legend!$B$73, IF(J69=[2]Legend!$A$74, [2]Legend!$B$74, "")))))))))))</f>
        <v>25</v>
      </c>
      <c r="L69" s="33">
        <v>2</v>
      </c>
      <c r="M69" s="33"/>
      <c r="N69" s="33"/>
      <c r="O69" s="33"/>
    </row>
    <row r="70" spans="1:15" ht="14" customHeight="1" x14ac:dyDescent="0.45">
      <c r="A70" s="32">
        <v>9014</v>
      </c>
      <c r="B70" s="33" t="s">
        <v>85</v>
      </c>
      <c r="C70" s="33" t="s">
        <v>43</v>
      </c>
      <c r="D70" s="33">
        <v>3</v>
      </c>
      <c r="E70" s="33">
        <v>4</v>
      </c>
      <c r="F70" s="33">
        <v>1</v>
      </c>
      <c r="G70" s="32">
        <v>9036</v>
      </c>
      <c r="H70" s="33" t="s">
        <v>86</v>
      </c>
      <c r="I70" s="33">
        <v>1</v>
      </c>
      <c r="J70" s="33" t="s">
        <v>69</v>
      </c>
      <c r="K70" s="34">
        <f>IF(J70=[2]Legend!$A$66,[2]Legend!$B$66,(IF(J70=[2]Legend!$A$67,[2]Legend!$B$67,IF(J70=[2]Legend!$A$68, [2]Legend!$B$68, IF(J70=[2]Legend!$A$69, [2]Legend!$B$69, IF(J70=[2]Legend!$A$70, [2]Legend!$B$70, IF(J70=[2]Legend!$A$71, [2]Legend!$B$71, IF(J70=[2]Legend!$A$72, [2]Legend!$B$72, (IF(J70=[2]Legend!$A$73, [2]Legend!$B$73, IF(J70=[2]Legend!$A$74, [2]Legend!$B$74, "")))))))))))</f>
        <v>120</v>
      </c>
      <c r="L70" s="33">
        <v>17</v>
      </c>
      <c r="M70" s="33">
        <v>17</v>
      </c>
      <c r="N70" s="33"/>
      <c r="O70" s="33"/>
    </row>
    <row r="71" spans="1:15" ht="14" customHeight="1" x14ac:dyDescent="0.45">
      <c r="A71" s="32">
        <v>9014</v>
      </c>
      <c r="B71" s="33" t="s">
        <v>85</v>
      </c>
      <c r="C71" s="33" t="s">
        <v>16</v>
      </c>
      <c r="D71" s="33">
        <v>3</v>
      </c>
      <c r="E71" s="33">
        <v>4</v>
      </c>
      <c r="F71" s="33">
        <v>2</v>
      </c>
      <c r="G71" s="32">
        <v>9036</v>
      </c>
      <c r="H71" s="33" t="s">
        <v>86</v>
      </c>
      <c r="I71" s="33">
        <v>1</v>
      </c>
      <c r="J71" s="33" t="s">
        <v>18</v>
      </c>
      <c r="K71" s="34">
        <f>IF(J71=[2]Legend!$A$66,[2]Legend!$B$66,(IF(J71=[2]Legend!$A$67,[2]Legend!$B$67,IF(J71=[2]Legend!$A$68, [2]Legend!$B$68, IF(J71=[2]Legend!$A$69, [2]Legend!$B$69, IF(J71=[2]Legend!$A$70, [2]Legend!$B$70, IF(J71=[2]Legend!$A$71, [2]Legend!$B$71, IF(J71=[2]Legend!$A$72, [2]Legend!$B$72, (IF(J71=[2]Legend!$A$73, [2]Legend!$B$73, IF(J71=[2]Legend!$A$74, [2]Legend!$B$74, "")))))))))))</f>
        <v>5</v>
      </c>
      <c r="L71" s="33">
        <v>5</v>
      </c>
      <c r="M71" s="33"/>
      <c r="N71" s="33"/>
      <c r="O71" s="33"/>
    </row>
    <row r="72" spans="1:15" ht="14" customHeight="1" x14ac:dyDescent="0.45">
      <c r="A72" s="32">
        <v>9014</v>
      </c>
      <c r="B72" s="33" t="s">
        <v>85</v>
      </c>
      <c r="C72" s="33" t="s">
        <v>16</v>
      </c>
      <c r="D72" s="33">
        <v>3</v>
      </c>
      <c r="E72" s="33">
        <v>4</v>
      </c>
      <c r="F72" s="33">
        <v>2</v>
      </c>
      <c r="G72" s="32">
        <v>9036</v>
      </c>
      <c r="H72" s="33" t="s">
        <v>86</v>
      </c>
      <c r="I72" s="33">
        <v>1</v>
      </c>
      <c r="J72" s="33" t="s">
        <v>60</v>
      </c>
      <c r="K72" s="34">
        <f>IF(J72=[2]Legend!$A$66,[2]Legend!$B$66,(IF(J72=[2]Legend!$A$67,[2]Legend!$B$67,IF(J72=[2]Legend!$A$68, [2]Legend!$B$68, IF(J72=[2]Legend!$A$69, [2]Legend!$B$69, IF(J72=[2]Legend!$A$70, [2]Legend!$B$70, IF(J72=[2]Legend!$A$71, [2]Legend!$B$71, IF(J72=[2]Legend!$A$72, [2]Legend!$B$72, (IF(J72=[2]Legend!$A$73, [2]Legend!$B$73, IF(J72=[2]Legend!$A$74, [2]Legend!$B$74, "")))))))))))</f>
        <v>25</v>
      </c>
      <c r="L72" s="33">
        <v>25</v>
      </c>
      <c r="M72" s="33"/>
      <c r="N72" s="33"/>
      <c r="O72" s="33"/>
    </row>
    <row r="73" spans="1:15" ht="14" customHeight="1" x14ac:dyDescent="0.45">
      <c r="A73" s="32">
        <v>9014</v>
      </c>
      <c r="B73" s="33" t="s">
        <v>85</v>
      </c>
      <c r="C73" s="33" t="s">
        <v>16</v>
      </c>
      <c r="D73" s="33">
        <v>3</v>
      </c>
      <c r="E73" s="33">
        <v>4</v>
      </c>
      <c r="F73" s="33">
        <v>2</v>
      </c>
      <c r="G73" s="32">
        <v>9036</v>
      </c>
      <c r="H73" s="33" t="s">
        <v>86</v>
      </c>
      <c r="I73" s="33">
        <v>1</v>
      </c>
      <c r="J73" s="33" t="s">
        <v>69</v>
      </c>
      <c r="K73" s="34">
        <f>IF(J73=[2]Legend!$A$66,[2]Legend!$B$66,(IF(J73=[2]Legend!$A$67,[2]Legend!$B$67,IF(J73=[2]Legend!$A$68, [2]Legend!$B$68, IF(J73=[2]Legend!$A$69, [2]Legend!$B$69, IF(J73=[2]Legend!$A$70, [2]Legend!$B$70, IF(J73=[2]Legend!$A$71, [2]Legend!$B$71, IF(J73=[2]Legend!$A$72, [2]Legend!$B$72, (IF(J73=[2]Legend!$A$73, [2]Legend!$B$73, IF(J73=[2]Legend!$A$74, [2]Legend!$B$74, "")))))))))))</f>
        <v>120</v>
      </c>
      <c r="L73" s="33">
        <v>117</v>
      </c>
      <c r="M73" s="33">
        <v>1</v>
      </c>
      <c r="N73" s="33" t="s">
        <v>30</v>
      </c>
      <c r="O73" s="33"/>
    </row>
    <row r="74" spans="1:15" ht="14" customHeight="1" x14ac:dyDescent="0.45">
      <c r="A74" s="32">
        <v>45525</v>
      </c>
      <c r="B74" s="33" t="s">
        <v>85</v>
      </c>
      <c r="C74" s="33" t="s">
        <v>93</v>
      </c>
      <c r="D74" s="33">
        <v>1</v>
      </c>
      <c r="E74" s="33">
        <v>5</v>
      </c>
      <c r="F74" s="33">
        <v>1</v>
      </c>
      <c r="G74" s="32">
        <v>45548</v>
      </c>
      <c r="H74" s="33" t="s">
        <v>43</v>
      </c>
      <c r="I74" s="33">
        <v>1</v>
      </c>
      <c r="J74" s="33" t="s">
        <v>18</v>
      </c>
      <c r="K74" s="34">
        <f>IF(J74=[16]Legend!$A$66,[16]Legend!$B$66,(IF(J74=[16]Legend!$A$67,[16]Legend!$B$67,IF(J74=[16]Legend!$A$68, [16]Legend!$B$68, IF(J74=[16]Legend!$A$69, [16]Legend!$B$69, IF(J74=[16]Legend!$A$70, [16]Legend!$B$70, IF(J74=[16]Legend!$A$71, [16]Legend!$B$71, IF(J74=[16]Legend!$A$72, [16]Legend!$B$72, (IF(J74=[16]Legend!$A$73, [16]Legend!$B$73, IF(J74=[16]Legend!$A$74, [16]Legend!$B$74, "")))))))))))</f>
        <v>5</v>
      </c>
      <c r="L74" s="33">
        <v>0</v>
      </c>
      <c r="M74" s="33"/>
      <c r="N74" s="33"/>
      <c r="O74" s="33"/>
    </row>
    <row r="75" spans="1:15" ht="14" customHeight="1" x14ac:dyDescent="0.45">
      <c r="A75" s="32">
        <v>45525</v>
      </c>
      <c r="B75" s="33" t="s">
        <v>85</v>
      </c>
      <c r="C75" s="33" t="s">
        <v>93</v>
      </c>
      <c r="D75" s="33">
        <v>1</v>
      </c>
      <c r="E75" s="33">
        <v>5</v>
      </c>
      <c r="F75" s="33">
        <v>1</v>
      </c>
      <c r="G75" s="32">
        <v>45548</v>
      </c>
      <c r="H75" s="33" t="s">
        <v>43</v>
      </c>
      <c r="I75" s="33">
        <v>1</v>
      </c>
      <c r="J75" s="33" t="s">
        <v>60</v>
      </c>
      <c r="K75" s="34">
        <f>IF(J75=[16]Legend!$A$66,[16]Legend!$B$66,(IF(J75=[16]Legend!$A$67,[16]Legend!$B$67,IF(J75=[16]Legend!$A$68, [16]Legend!$B$68, IF(J75=[16]Legend!$A$69, [16]Legend!$B$69, IF(J75=[16]Legend!$A$70, [16]Legend!$B$70, IF(J75=[16]Legend!$A$71, [16]Legend!$B$71, IF(J75=[16]Legend!$A$72, [16]Legend!$B$72, (IF(J75=[16]Legend!$A$73, [16]Legend!$B$73, IF(J75=[16]Legend!$A$74, [16]Legend!$B$74, "")))))))))))</f>
        <v>25</v>
      </c>
      <c r="L75" s="33">
        <v>0</v>
      </c>
      <c r="M75" s="33"/>
      <c r="N75" s="33"/>
      <c r="O75" s="33"/>
    </row>
    <row r="76" spans="1:15" ht="14" customHeight="1" x14ac:dyDescent="0.45">
      <c r="A76" s="32">
        <v>45525</v>
      </c>
      <c r="B76" s="33" t="s">
        <v>85</v>
      </c>
      <c r="C76" s="33" t="s">
        <v>93</v>
      </c>
      <c r="D76" s="33">
        <v>1</v>
      </c>
      <c r="E76" s="33">
        <v>5</v>
      </c>
      <c r="F76" s="33">
        <v>1</v>
      </c>
      <c r="G76" s="32">
        <v>45548</v>
      </c>
      <c r="H76" s="33" t="s">
        <v>43</v>
      </c>
      <c r="I76" s="33">
        <v>1</v>
      </c>
      <c r="J76" s="33" t="s">
        <v>69</v>
      </c>
      <c r="K76" s="34">
        <f>IF(J76=[16]Legend!$A$66,[16]Legend!$B$66,(IF(J76=[16]Legend!$A$67,[16]Legend!$B$67,IF(J76=[16]Legend!$A$68, [16]Legend!$B$68, IF(J76=[16]Legend!$A$69, [16]Legend!$B$69, IF(J76=[16]Legend!$A$70, [16]Legend!$B$70, IF(J76=[16]Legend!$A$71, [16]Legend!$B$71, IF(J76=[16]Legend!$A$72, [16]Legend!$B$72, (IF(J76=[16]Legend!$A$73, [16]Legend!$B$73, IF(J76=[16]Legend!$A$74, [16]Legend!$B$74, "")))))))))))</f>
        <v>120</v>
      </c>
      <c r="L76" s="33">
        <v>2</v>
      </c>
      <c r="M76" s="33"/>
      <c r="N76" s="33"/>
      <c r="O76" s="33"/>
    </row>
    <row r="77" spans="1:15" ht="14" customHeight="1" x14ac:dyDescent="0.45">
      <c r="A77" s="32">
        <v>45525</v>
      </c>
      <c r="B77" s="33" t="s">
        <v>85</v>
      </c>
      <c r="C77" s="33" t="s">
        <v>93</v>
      </c>
      <c r="D77" s="33">
        <v>1</v>
      </c>
      <c r="E77" s="33">
        <v>5</v>
      </c>
      <c r="F77" s="33">
        <v>2</v>
      </c>
      <c r="G77" s="32">
        <v>45548</v>
      </c>
      <c r="H77" s="33" t="s">
        <v>43</v>
      </c>
      <c r="I77" s="33">
        <v>1</v>
      </c>
      <c r="J77" s="33" t="s">
        <v>18</v>
      </c>
      <c r="K77" s="34">
        <f>IF(J77=[16]Legend!$A$66,[16]Legend!$B$66,(IF(J77=[16]Legend!$A$67,[16]Legend!$B$67,IF(J77=[16]Legend!$A$68, [16]Legend!$B$68, IF(J77=[16]Legend!$A$69, [16]Legend!$B$69, IF(J77=[16]Legend!$A$70, [16]Legend!$B$70, IF(J77=[16]Legend!$A$71, [16]Legend!$B$71, IF(J77=[16]Legend!$A$72, [16]Legend!$B$72, (IF(J77=[16]Legend!$A$73, [16]Legend!$B$73, IF(J77=[16]Legend!$A$74, [16]Legend!$B$74, "")))))))))))</f>
        <v>5</v>
      </c>
      <c r="L77" s="33">
        <v>5</v>
      </c>
      <c r="M77" s="33"/>
      <c r="N77" s="33"/>
      <c r="O77" s="33"/>
    </row>
    <row r="78" spans="1:15" ht="14" customHeight="1" x14ac:dyDescent="0.45">
      <c r="A78" s="32">
        <v>45525</v>
      </c>
      <c r="B78" s="33" t="s">
        <v>85</v>
      </c>
      <c r="C78" s="33" t="s">
        <v>93</v>
      </c>
      <c r="D78" s="33">
        <v>1</v>
      </c>
      <c r="E78" s="33">
        <v>5</v>
      </c>
      <c r="F78" s="33">
        <v>2</v>
      </c>
      <c r="G78" s="32">
        <v>45548</v>
      </c>
      <c r="H78" s="33" t="s">
        <v>43</v>
      </c>
      <c r="I78" s="33">
        <v>1</v>
      </c>
      <c r="J78" s="33" t="s">
        <v>60</v>
      </c>
      <c r="K78" s="34">
        <f>IF(J78=[16]Legend!$A$66,[16]Legend!$B$66,(IF(J78=[16]Legend!$A$67,[16]Legend!$B$67,IF(J78=[16]Legend!$A$68, [16]Legend!$B$68, IF(J78=[16]Legend!$A$69, [16]Legend!$B$69, IF(J78=[16]Legend!$A$70, [16]Legend!$B$70, IF(J78=[16]Legend!$A$71, [16]Legend!$B$71, IF(J78=[16]Legend!$A$72, [16]Legend!$B$72, (IF(J78=[16]Legend!$A$73, [16]Legend!$B$73, IF(J78=[16]Legend!$A$74, [16]Legend!$B$74, "")))))))))))</f>
        <v>25</v>
      </c>
      <c r="L78" s="33">
        <v>25</v>
      </c>
      <c r="M78" s="33"/>
      <c r="N78" s="33"/>
      <c r="O78" s="33"/>
    </row>
    <row r="79" spans="1:15" ht="14" customHeight="1" x14ac:dyDescent="0.45">
      <c r="A79" s="32">
        <v>45525</v>
      </c>
      <c r="B79" s="33" t="s">
        <v>85</v>
      </c>
      <c r="C79" s="33" t="s">
        <v>93</v>
      </c>
      <c r="D79" s="33">
        <v>1</v>
      </c>
      <c r="E79" s="33">
        <v>5</v>
      </c>
      <c r="F79" s="33">
        <v>2</v>
      </c>
      <c r="G79" s="32">
        <v>45548</v>
      </c>
      <c r="H79" s="33" t="s">
        <v>43</v>
      </c>
      <c r="I79" s="33">
        <v>1</v>
      </c>
      <c r="J79" s="33" t="s">
        <v>69</v>
      </c>
      <c r="K79" s="34">
        <f>IF(J79=[16]Legend!$A$66,[16]Legend!$B$66,(IF(J79=[16]Legend!$A$67,[16]Legend!$B$67,IF(J79=[16]Legend!$A$68, [16]Legend!$B$68, IF(J79=[16]Legend!$A$69, [16]Legend!$B$69, IF(J79=[16]Legend!$A$70, [16]Legend!$B$70, IF(J79=[16]Legend!$A$71, [16]Legend!$B$71, IF(J79=[16]Legend!$A$72, [16]Legend!$B$72, (IF(J79=[16]Legend!$A$73, [16]Legend!$B$73, IF(J79=[16]Legend!$A$74, [16]Legend!$B$74, "")))))))))))</f>
        <v>120</v>
      </c>
      <c r="L79" s="33">
        <v>118</v>
      </c>
      <c r="M79" s="33"/>
      <c r="N79" s="33"/>
      <c r="O79" s="33"/>
    </row>
    <row r="80" spans="1:15" ht="14" customHeight="1" x14ac:dyDescent="0.45">
      <c r="A80" s="35">
        <v>45532</v>
      </c>
      <c r="B80" s="36" t="s">
        <v>85</v>
      </c>
      <c r="C80" s="36" t="s">
        <v>90</v>
      </c>
      <c r="D80" s="36">
        <v>2</v>
      </c>
      <c r="E80" s="36">
        <v>5</v>
      </c>
      <c r="F80" s="36">
        <v>1</v>
      </c>
      <c r="G80" s="35">
        <v>45560</v>
      </c>
      <c r="H80" s="36" t="s">
        <v>43</v>
      </c>
      <c r="I80" s="36">
        <v>1</v>
      </c>
      <c r="J80" s="37" t="s">
        <v>18</v>
      </c>
      <c r="K80" s="34">
        <f>IF(J80=[5]Legend!$A$66,[5]Legend!$B$66,(IF(J80=[5]Legend!$A$67,[5]Legend!$B$67,IF(J80=[5]Legend!$A$68, [5]Legend!$B$68, IF(J80=[5]Legend!$A$69, [5]Legend!$B$69, IF(J80=[5]Legend!$A$70, [5]Legend!$B$70, IF(J80=[5]Legend!$A$71, [5]Legend!$B$71, IF(J80=[5]Legend!$A$72, [5]Legend!$B$72, (IF(J80=[5]Legend!$A$73, [5]Legend!$B$73, IF(J80=[5]Legend!$A$74, [5]Legend!$B$74, "")))))))))))</f>
        <v>5</v>
      </c>
      <c r="L80" s="36">
        <v>0</v>
      </c>
      <c r="M80" s="36"/>
      <c r="N80" s="36"/>
      <c r="O80" s="36"/>
    </row>
    <row r="81" spans="1:15" ht="14" customHeight="1" x14ac:dyDescent="0.45">
      <c r="A81" s="35">
        <v>45532</v>
      </c>
      <c r="B81" s="36" t="s">
        <v>85</v>
      </c>
      <c r="C81" s="36" t="s">
        <v>90</v>
      </c>
      <c r="D81" s="36">
        <v>2</v>
      </c>
      <c r="E81" s="36">
        <v>5</v>
      </c>
      <c r="F81" s="36">
        <v>1</v>
      </c>
      <c r="G81" s="35">
        <v>45560</v>
      </c>
      <c r="H81" s="36" t="s">
        <v>43</v>
      </c>
      <c r="I81" s="36">
        <v>1</v>
      </c>
      <c r="J81" s="37" t="s">
        <v>60</v>
      </c>
      <c r="K81" s="34">
        <f>IF(J81=[5]Legend!$A$66,[5]Legend!$B$66,(IF(J81=[5]Legend!$A$67,[5]Legend!$B$67,IF(J81=[5]Legend!$A$68, [5]Legend!$B$68, IF(J81=[5]Legend!$A$69, [5]Legend!$B$69, IF(J81=[5]Legend!$A$70, [5]Legend!$B$70, IF(J81=[5]Legend!$A$71, [5]Legend!$B$71, IF(J81=[5]Legend!$A$72, [5]Legend!$B$72, (IF(J81=[5]Legend!$A$73, [5]Legend!$B$73, IF(J81=[5]Legend!$A$74, [5]Legend!$B$74, "")))))))))))</f>
        <v>25</v>
      </c>
      <c r="L81" s="36">
        <v>0</v>
      </c>
      <c r="M81" s="36"/>
      <c r="N81" s="36"/>
      <c r="O81" s="36"/>
    </row>
    <row r="82" spans="1:15" ht="14" customHeight="1" x14ac:dyDescent="0.45">
      <c r="A82" s="35">
        <v>45532</v>
      </c>
      <c r="B82" s="36" t="s">
        <v>85</v>
      </c>
      <c r="C82" s="36" t="s">
        <v>90</v>
      </c>
      <c r="D82" s="36">
        <v>2</v>
      </c>
      <c r="E82" s="36">
        <v>5</v>
      </c>
      <c r="F82" s="36">
        <v>1</v>
      </c>
      <c r="G82" s="35">
        <v>45560</v>
      </c>
      <c r="H82" s="36" t="s">
        <v>43</v>
      </c>
      <c r="I82" s="36">
        <v>1</v>
      </c>
      <c r="J82" s="37" t="s">
        <v>69</v>
      </c>
      <c r="K82" s="34">
        <f>IF(J82=[5]Legend!$A$66,[5]Legend!$B$66,(IF(J82=[5]Legend!$A$67,[5]Legend!$B$67,IF(J82=[5]Legend!$A$68, [5]Legend!$B$68, IF(J82=[5]Legend!$A$69, [5]Legend!$B$69, IF(J82=[5]Legend!$A$70, [5]Legend!$B$70, IF(J82=[5]Legend!$A$71, [5]Legend!$B$71, IF(J82=[5]Legend!$A$72, [5]Legend!$B$72, (IF(J82=[5]Legend!$A$73, [5]Legend!$B$73, IF(J82=[5]Legend!$A$74, [5]Legend!$B$74, "")))))))))))</f>
        <v>120</v>
      </c>
      <c r="L82" s="36">
        <v>0</v>
      </c>
      <c r="M82" s="36"/>
      <c r="N82" s="36"/>
      <c r="O82" s="36"/>
    </row>
    <row r="83" spans="1:15" ht="14" customHeight="1" x14ac:dyDescent="0.45">
      <c r="A83" s="35">
        <v>45532</v>
      </c>
      <c r="B83" s="36" t="s">
        <v>85</v>
      </c>
      <c r="C83" s="36" t="s">
        <v>90</v>
      </c>
      <c r="D83" s="36">
        <v>2</v>
      </c>
      <c r="E83" s="36">
        <v>5</v>
      </c>
      <c r="F83" s="36">
        <v>2</v>
      </c>
      <c r="G83" s="35">
        <v>45560</v>
      </c>
      <c r="H83" s="36" t="s">
        <v>43</v>
      </c>
      <c r="I83" s="36">
        <v>1</v>
      </c>
      <c r="J83" s="37" t="s">
        <v>18</v>
      </c>
      <c r="K83" s="34">
        <f>IF(J83=[5]Legend!$A$66,[5]Legend!$B$66,(IF(J83=[5]Legend!$A$67,[5]Legend!$B$67,IF(J83=[5]Legend!$A$68, [5]Legend!$B$68, IF(J83=[5]Legend!$A$69, [5]Legend!$B$69, IF(J83=[5]Legend!$A$70, [5]Legend!$B$70, IF(J83=[5]Legend!$A$71, [5]Legend!$B$71, IF(J83=[5]Legend!$A$72, [5]Legend!$B$72, (IF(J83=[5]Legend!$A$73, [5]Legend!$B$73, IF(J83=[5]Legend!$A$74, [5]Legend!$B$74, "")))))))))))</f>
        <v>5</v>
      </c>
      <c r="L83" s="36">
        <v>5</v>
      </c>
      <c r="M83" s="36"/>
      <c r="N83" s="36"/>
      <c r="O83" s="36"/>
    </row>
    <row r="84" spans="1:15" ht="14" customHeight="1" x14ac:dyDescent="0.45">
      <c r="A84" s="35">
        <v>45532</v>
      </c>
      <c r="B84" s="36" t="s">
        <v>85</v>
      </c>
      <c r="C84" s="36" t="s">
        <v>90</v>
      </c>
      <c r="D84" s="36">
        <v>2</v>
      </c>
      <c r="E84" s="36">
        <v>5</v>
      </c>
      <c r="F84" s="36">
        <v>2</v>
      </c>
      <c r="G84" s="35">
        <v>45560</v>
      </c>
      <c r="H84" s="36" t="s">
        <v>43</v>
      </c>
      <c r="I84" s="36">
        <v>1</v>
      </c>
      <c r="J84" s="37" t="s">
        <v>60</v>
      </c>
      <c r="K84" s="34">
        <f>IF(J84=[5]Legend!$A$66,[5]Legend!$B$66,(IF(J84=[5]Legend!$A$67,[5]Legend!$B$67,IF(J84=[5]Legend!$A$68, [5]Legend!$B$68, IF(J84=[5]Legend!$A$69, [5]Legend!$B$69, IF(J84=[5]Legend!$A$70, [5]Legend!$B$70, IF(J84=[5]Legend!$A$71, [5]Legend!$B$71, IF(J84=[5]Legend!$A$72, [5]Legend!$B$72, (IF(J84=[5]Legend!$A$73, [5]Legend!$B$73, IF(J84=[5]Legend!$A$74, [5]Legend!$B$74, "")))))))))))</f>
        <v>25</v>
      </c>
      <c r="L84" s="36">
        <v>25</v>
      </c>
      <c r="M84" s="36"/>
      <c r="N84" s="36"/>
      <c r="O84" s="36"/>
    </row>
    <row r="85" spans="1:15" ht="14" customHeight="1" x14ac:dyDescent="0.45">
      <c r="A85" s="35">
        <v>45532</v>
      </c>
      <c r="B85" s="36" t="s">
        <v>85</v>
      </c>
      <c r="C85" s="36" t="s">
        <v>90</v>
      </c>
      <c r="D85" s="36">
        <v>2</v>
      </c>
      <c r="E85" s="36">
        <v>5</v>
      </c>
      <c r="F85" s="36">
        <v>2</v>
      </c>
      <c r="G85" s="35">
        <v>45560</v>
      </c>
      <c r="H85" s="36" t="s">
        <v>43</v>
      </c>
      <c r="I85" s="36">
        <v>1</v>
      </c>
      <c r="J85" s="37" t="s">
        <v>69</v>
      </c>
      <c r="K85" s="34">
        <f>IF(J85=[5]Legend!$A$66,[5]Legend!$B$66,(IF(J85=[5]Legend!$A$67,[5]Legend!$B$67,IF(J85=[5]Legend!$A$68, [5]Legend!$B$68, IF(J85=[5]Legend!$A$69, [5]Legend!$B$69, IF(J85=[5]Legend!$A$70, [5]Legend!$B$70, IF(J85=[5]Legend!$A$71, [5]Legend!$B$71, IF(J85=[5]Legend!$A$72, [5]Legend!$B$72, (IF(J85=[5]Legend!$A$73, [5]Legend!$B$73, IF(J85=[5]Legend!$A$74, [5]Legend!$B$74, "")))))))))))</f>
        <v>120</v>
      </c>
      <c r="L85" s="36">
        <v>120</v>
      </c>
      <c r="M85" s="36"/>
      <c r="N85" s="36"/>
      <c r="O85" s="36"/>
    </row>
    <row r="86" spans="1:15" ht="14" customHeight="1" x14ac:dyDescent="0.45">
      <c r="A86" s="32">
        <v>9014</v>
      </c>
      <c r="B86" s="33" t="s">
        <v>85</v>
      </c>
      <c r="C86" s="33" t="s">
        <v>43</v>
      </c>
      <c r="D86" s="33">
        <v>3</v>
      </c>
      <c r="E86" s="33">
        <v>5</v>
      </c>
      <c r="F86" s="33">
        <v>2</v>
      </c>
      <c r="G86" s="32">
        <v>9036</v>
      </c>
      <c r="H86" s="33" t="s">
        <v>86</v>
      </c>
      <c r="I86" s="33">
        <v>1</v>
      </c>
      <c r="J86" s="33" t="s">
        <v>18</v>
      </c>
      <c r="K86" s="34">
        <f>IF(J86=[2]Legend!$A$66,[2]Legend!$B$66,(IF(J86=[2]Legend!$A$67,[2]Legend!$B$67,IF(J86=[2]Legend!$A$68, [2]Legend!$B$68, IF(J86=[2]Legend!$A$69, [2]Legend!$B$69, IF(J86=[2]Legend!$A$70, [2]Legend!$B$70, IF(J86=[2]Legend!$A$71, [2]Legend!$B$71, IF(J86=[2]Legend!$A$72, [2]Legend!$B$72, (IF(J86=[2]Legend!$A$73, [2]Legend!$B$73, IF(J86=[2]Legend!$A$74, [2]Legend!$B$74, "")))))))))))</f>
        <v>5</v>
      </c>
      <c r="L86" s="33">
        <v>5</v>
      </c>
      <c r="M86" s="33"/>
      <c r="N86" s="33"/>
      <c r="O86" s="33"/>
    </row>
    <row r="87" spans="1:15" ht="14" customHeight="1" x14ac:dyDescent="0.45">
      <c r="A87" s="32">
        <v>9014</v>
      </c>
      <c r="B87" s="33" t="s">
        <v>85</v>
      </c>
      <c r="C87" s="33" t="s">
        <v>43</v>
      </c>
      <c r="D87" s="33">
        <v>3</v>
      </c>
      <c r="E87" s="33">
        <v>5</v>
      </c>
      <c r="F87" s="33">
        <v>2</v>
      </c>
      <c r="G87" s="32">
        <v>9036</v>
      </c>
      <c r="H87" s="33" t="s">
        <v>86</v>
      </c>
      <c r="I87" s="33">
        <v>1</v>
      </c>
      <c r="J87" s="33" t="s">
        <v>60</v>
      </c>
      <c r="K87" s="34">
        <f>IF(J87=[2]Legend!$A$66,[2]Legend!$B$66,(IF(J87=[2]Legend!$A$67,[2]Legend!$B$67,IF(J87=[2]Legend!$A$68, [2]Legend!$B$68, IF(J87=[2]Legend!$A$69, [2]Legend!$B$69, IF(J87=[2]Legend!$A$70, [2]Legend!$B$70, IF(J87=[2]Legend!$A$71, [2]Legend!$B$71, IF(J87=[2]Legend!$A$72, [2]Legend!$B$72, (IF(J87=[2]Legend!$A$73, [2]Legend!$B$73, IF(J87=[2]Legend!$A$74, [2]Legend!$B$74, "")))))))))))</f>
        <v>25</v>
      </c>
      <c r="L87" s="33">
        <v>26</v>
      </c>
      <c r="M87" s="33"/>
      <c r="N87" s="33"/>
      <c r="O87" s="33" t="s">
        <v>89</v>
      </c>
    </row>
    <row r="88" spans="1:15" ht="14" customHeight="1" x14ac:dyDescent="0.45">
      <c r="A88" s="32">
        <v>9014</v>
      </c>
      <c r="B88" s="33" t="s">
        <v>85</v>
      </c>
      <c r="C88" s="33" t="s">
        <v>43</v>
      </c>
      <c r="D88" s="33">
        <v>3</v>
      </c>
      <c r="E88" s="33">
        <v>5</v>
      </c>
      <c r="F88" s="33">
        <v>2</v>
      </c>
      <c r="G88" s="32">
        <v>9036</v>
      </c>
      <c r="H88" s="33" t="s">
        <v>86</v>
      </c>
      <c r="I88" s="33">
        <v>1</v>
      </c>
      <c r="J88" s="33" t="s">
        <v>69</v>
      </c>
      <c r="K88" s="34">
        <f>IF(J88=[2]Legend!$A$66,[2]Legend!$B$66,(IF(J88=[2]Legend!$A$67,[2]Legend!$B$67,IF(J88=[2]Legend!$A$68, [2]Legend!$B$68, IF(J88=[2]Legend!$A$69, [2]Legend!$B$69, IF(J88=[2]Legend!$A$70, [2]Legend!$B$70, IF(J88=[2]Legend!$A$71, [2]Legend!$B$71, IF(J88=[2]Legend!$A$72, [2]Legend!$B$72, (IF(J88=[2]Legend!$A$73, [2]Legend!$B$73, IF(J88=[2]Legend!$A$74, [2]Legend!$B$74, "")))))))))))</f>
        <v>120</v>
      </c>
      <c r="L88" s="33">
        <v>120</v>
      </c>
      <c r="M88" s="33"/>
      <c r="N88" s="33"/>
      <c r="O88" s="33"/>
    </row>
    <row r="89" spans="1:15" ht="14" customHeight="1" x14ac:dyDescent="0.45">
      <c r="A89" s="32">
        <v>9014</v>
      </c>
      <c r="B89" s="33" t="s">
        <v>85</v>
      </c>
      <c r="C89" s="33" t="s">
        <v>16</v>
      </c>
      <c r="D89" s="33">
        <v>3</v>
      </c>
      <c r="E89" s="33">
        <v>5</v>
      </c>
      <c r="F89" s="33">
        <v>1</v>
      </c>
      <c r="G89" s="32">
        <v>9036</v>
      </c>
      <c r="H89" s="33" t="s">
        <v>86</v>
      </c>
      <c r="I89" s="33">
        <v>1</v>
      </c>
      <c r="J89" s="33" t="s">
        <v>18</v>
      </c>
      <c r="K89" s="34">
        <f>IF(J89=[2]Legend!$A$66,[2]Legend!$B$66,(IF(J89=[2]Legend!$A$67,[2]Legend!$B$67,IF(J89=[2]Legend!$A$68, [2]Legend!$B$68, IF(J89=[2]Legend!$A$69, [2]Legend!$B$69, IF(J89=[2]Legend!$A$70, [2]Legend!$B$70, IF(J89=[2]Legend!$A$71, [2]Legend!$B$71, IF(J89=[2]Legend!$A$72, [2]Legend!$B$72, (IF(J89=[2]Legend!$A$73, [2]Legend!$B$73, IF(J89=[2]Legend!$A$74, [2]Legend!$B$74, "")))))))))))</f>
        <v>5</v>
      </c>
      <c r="L89" s="33">
        <v>0</v>
      </c>
      <c r="M89" s="33"/>
      <c r="N89" s="33"/>
      <c r="O89" s="33"/>
    </row>
    <row r="90" spans="1:15" ht="14" customHeight="1" x14ac:dyDescent="0.45">
      <c r="A90" s="32">
        <v>9014</v>
      </c>
      <c r="B90" s="33" t="s">
        <v>85</v>
      </c>
      <c r="C90" s="33" t="s">
        <v>16</v>
      </c>
      <c r="D90" s="33">
        <v>3</v>
      </c>
      <c r="E90" s="33">
        <v>5</v>
      </c>
      <c r="F90" s="33">
        <v>1</v>
      </c>
      <c r="G90" s="32">
        <v>9036</v>
      </c>
      <c r="H90" s="33" t="s">
        <v>86</v>
      </c>
      <c r="I90" s="33">
        <v>1</v>
      </c>
      <c r="J90" s="33" t="s">
        <v>60</v>
      </c>
      <c r="K90" s="34">
        <f>IF(J90=[2]Legend!$A$66,[2]Legend!$B$66,(IF(J90=[2]Legend!$A$67,[2]Legend!$B$67,IF(J90=[2]Legend!$A$68, [2]Legend!$B$68, IF(J90=[2]Legend!$A$69, [2]Legend!$B$69, IF(J90=[2]Legend!$A$70, [2]Legend!$B$70, IF(J90=[2]Legend!$A$71, [2]Legend!$B$71, IF(J90=[2]Legend!$A$72, [2]Legend!$B$72, (IF(J90=[2]Legend!$A$73, [2]Legend!$B$73, IF(J90=[2]Legend!$A$74, [2]Legend!$B$74, "")))))))))))</f>
        <v>25</v>
      </c>
      <c r="L90" s="33">
        <v>13</v>
      </c>
      <c r="M90" s="33">
        <v>13</v>
      </c>
      <c r="N90" s="33" t="s">
        <v>23</v>
      </c>
      <c r="O90" s="33"/>
    </row>
    <row r="91" spans="1:15" ht="14" customHeight="1" x14ac:dyDescent="0.45">
      <c r="A91" s="32">
        <v>9014</v>
      </c>
      <c r="B91" s="33" t="s">
        <v>85</v>
      </c>
      <c r="C91" s="33" t="s">
        <v>16</v>
      </c>
      <c r="D91" s="33">
        <v>3</v>
      </c>
      <c r="E91" s="33">
        <v>5</v>
      </c>
      <c r="F91" s="33">
        <v>1</v>
      </c>
      <c r="G91" s="32">
        <v>9036</v>
      </c>
      <c r="H91" s="33" t="s">
        <v>86</v>
      </c>
      <c r="I91" s="33">
        <v>1</v>
      </c>
      <c r="J91" s="33" t="s">
        <v>69</v>
      </c>
      <c r="K91" s="34">
        <f>IF(J91=[2]Legend!$A$66,[2]Legend!$B$66,(IF(J91=[2]Legend!$A$67,[2]Legend!$B$67,IF(J91=[2]Legend!$A$68, [2]Legend!$B$68, IF(J91=[2]Legend!$A$69, [2]Legend!$B$69, IF(J91=[2]Legend!$A$70, [2]Legend!$B$70, IF(J91=[2]Legend!$A$71, [2]Legend!$B$71, IF(J91=[2]Legend!$A$72, [2]Legend!$B$72, (IF(J91=[2]Legend!$A$73, [2]Legend!$B$73, IF(J91=[2]Legend!$A$74, [2]Legend!$B$74, "")))))))))))</f>
        <v>120</v>
      </c>
      <c r="L91" s="33">
        <v>106</v>
      </c>
      <c r="M91" s="33">
        <v>106</v>
      </c>
      <c r="N91" s="33" t="s">
        <v>23</v>
      </c>
      <c r="O91" s="33"/>
    </row>
    <row r="92" spans="1:15" ht="14" customHeight="1" x14ac:dyDescent="0.45">
      <c r="A92" s="32">
        <v>45525</v>
      </c>
      <c r="B92" s="33" t="s">
        <v>85</v>
      </c>
      <c r="C92" s="33" t="s">
        <v>37</v>
      </c>
      <c r="D92" s="33">
        <v>1</v>
      </c>
      <c r="E92" s="33">
        <v>6</v>
      </c>
      <c r="F92" s="41">
        <v>1</v>
      </c>
      <c r="G92" s="32">
        <v>45361</v>
      </c>
      <c r="H92" s="33" t="s">
        <v>91</v>
      </c>
      <c r="I92" s="33">
        <v>1</v>
      </c>
      <c r="J92" s="33" t="s">
        <v>60</v>
      </c>
      <c r="K92" s="34">
        <f>IF(J92=[9]Legend!$A$67,[9]Legend!$B$67,(IF(J92=[9]Legend!$A$68,[9]Legend!$B$68,IF(J92=[9]Legend!$A$69, [9]Legend!$B$69, IF(J92=[9]Legend!$A$70, [9]Legend!$B$70, IF(J92=[9]Legend!$A$71, [9]Legend!$B$71, IF(J92=[9]Legend!$A$72, [9]Legend!$B$72, IF(J92=[9]Legend!$A$73, [9]Legend!$B$73, (IF(J92=[9]Legend!$A$74, [9]Legend!$B$74, IF(J92=[9]Legend!$A$75, [9]Legend!$B$75, "")))))))))))</f>
        <v>25</v>
      </c>
      <c r="L92" s="33">
        <v>25</v>
      </c>
      <c r="M92" s="33">
        <v>0</v>
      </c>
      <c r="N92" s="33"/>
      <c r="O92" s="33" t="s">
        <v>134</v>
      </c>
    </row>
    <row r="93" spans="1:15" ht="14" customHeight="1" x14ac:dyDescent="0.45">
      <c r="A93" s="32">
        <v>45525</v>
      </c>
      <c r="B93" s="33" t="s">
        <v>85</v>
      </c>
      <c r="C93" s="33" t="s">
        <v>37</v>
      </c>
      <c r="D93" s="33">
        <v>1</v>
      </c>
      <c r="E93" s="33">
        <v>6</v>
      </c>
      <c r="F93" s="41">
        <v>1</v>
      </c>
      <c r="G93" s="32">
        <v>45361</v>
      </c>
      <c r="H93" s="33" t="s">
        <v>91</v>
      </c>
      <c r="I93" s="33">
        <v>1</v>
      </c>
      <c r="J93" s="33" t="s">
        <v>18</v>
      </c>
      <c r="K93" s="34">
        <f>IF(J93=[9]Legend!$A$67,[9]Legend!$B$67,(IF(J93=[9]Legend!$A$68,[9]Legend!$B$68,IF(J93=[9]Legend!$A$69, [9]Legend!$B$69, IF(J93=[9]Legend!$A$70, [9]Legend!$B$70, IF(J93=[9]Legend!$A$71, [9]Legend!$B$71, IF(J93=[9]Legend!$A$72, [9]Legend!$B$72, IF(J93=[9]Legend!$A$73, [9]Legend!$B$73, (IF(J93=[9]Legend!$A$74, [9]Legend!$B$74, IF(J93=[9]Legend!$A$75, [9]Legend!$B$75, "")))))))))))</f>
        <v>5</v>
      </c>
      <c r="L93" s="33">
        <v>5</v>
      </c>
      <c r="M93" s="33">
        <v>0</v>
      </c>
      <c r="N93" s="33"/>
      <c r="O93" s="33" t="s">
        <v>134</v>
      </c>
    </row>
    <row r="94" spans="1:15" ht="14" customHeight="1" x14ac:dyDescent="0.45">
      <c r="A94" s="32">
        <v>45525</v>
      </c>
      <c r="B94" s="33" t="s">
        <v>85</v>
      </c>
      <c r="C94" s="33" t="s">
        <v>37</v>
      </c>
      <c r="D94" s="33">
        <v>1</v>
      </c>
      <c r="E94" s="33">
        <v>6</v>
      </c>
      <c r="F94" s="41">
        <v>1</v>
      </c>
      <c r="G94" s="32">
        <v>45361</v>
      </c>
      <c r="H94" s="33" t="s">
        <v>91</v>
      </c>
      <c r="I94" s="33">
        <v>1</v>
      </c>
      <c r="J94" s="33" t="s">
        <v>69</v>
      </c>
      <c r="K94" s="34">
        <f>IF(J94=[9]Legend!$A$67,[9]Legend!$B$67,(IF(J94=[9]Legend!$A$68,[9]Legend!$B$68,IF(J94=[9]Legend!$A$69, [9]Legend!$B$69, IF(J94=[9]Legend!$A$70, [9]Legend!$B$70, IF(J94=[9]Legend!$A$71, [9]Legend!$B$71, IF(J94=[9]Legend!$A$72, [9]Legend!$B$72, IF(J94=[9]Legend!$A$73, [9]Legend!$B$73, (IF(J94=[9]Legend!$A$74, [9]Legend!$B$74, IF(J94=[9]Legend!$A$75, [9]Legend!$B$75, "")))))))))))</f>
        <v>120</v>
      </c>
      <c r="L94" s="33">
        <v>120</v>
      </c>
      <c r="M94" s="33">
        <v>0</v>
      </c>
      <c r="N94" s="33"/>
      <c r="O94" s="33" t="s">
        <v>134</v>
      </c>
    </row>
    <row r="95" spans="1:15" ht="14" customHeight="1" x14ac:dyDescent="0.45">
      <c r="A95" s="32">
        <v>45525</v>
      </c>
      <c r="B95" s="33" t="s">
        <v>85</v>
      </c>
      <c r="C95" s="33" t="s">
        <v>37</v>
      </c>
      <c r="D95" s="33">
        <v>1</v>
      </c>
      <c r="E95" s="33">
        <v>6</v>
      </c>
      <c r="F95" s="41">
        <v>1</v>
      </c>
      <c r="G95" s="32">
        <v>45361</v>
      </c>
      <c r="H95" s="33" t="s">
        <v>91</v>
      </c>
      <c r="I95" s="33">
        <v>1</v>
      </c>
      <c r="J95" s="33" t="s">
        <v>60</v>
      </c>
      <c r="K95" s="34">
        <f>IF(J95=[9]Legend!$A$67,[9]Legend!$B$67,(IF(J95=[9]Legend!$A$68,[9]Legend!$B$68,IF(J95=[9]Legend!$A$69, [9]Legend!$B$69, IF(J95=[9]Legend!$A$70, [9]Legend!$B$70, IF(J95=[9]Legend!$A$71, [9]Legend!$B$71, IF(J95=[9]Legend!$A$72, [9]Legend!$B$72, IF(J95=[9]Legend!$A$73, [9]Legend!$B$73, (IF(J95=[9]Legend!$A$74, [9]Legend!$B$74, IF(J95=[9]Legend!$A$75, [9]Legend!$B$75, "")))))))))))</f>
        <v>25</v>
      </c>
      <c r="L95" s="33">
        <v>24</v>
      </c>
      <c r="M95" s="33">
        <v>0</v>
      </c>
      <c r="N95" s="33"/>
      <c r="O95" s="33" t="s">
        <v>135</v>
      </c>
    </row>
    <row r="96" spans="1:15" ht="14" customHeight="1" x14ac:dyDescent="0.45">
      <c r="A96" s="32">
        <v>45525</v>
      </c>
      <c r="B96" s="33" t="s">
        <v>85</v>
      </c>
      <c r="C96" s="33" t="s">
        <v>37</v>
      </c>
      <c r="D96" s="33">
        <v>1</v>
      </c>
      <c r="E96" s="33">
        <v>6</v>
      </c>
      <c r="F96" s="41">
        <v>1</v>
      </c>
      <c r="G96" s="32">
        <v>45361</v>
      </c>
      <c r="H96" s="33" t="s">
        <v>91</v>
      </c>
      <c r="I96" s="33">
        <v>1</v>
      </c>
      <c r="J96" s="33" t="s">
        <v>18</v>
      </c>
      <c r="K96" s="34">
        <f>IF(J96=[9]Legend!$A$67,[9]Legend!$B$67,(IF(J96=[9]Legend!$A$68,[9]Legend!$B$68,IF(J96=[9]Legend!$A$69, [9]Legend!$B$69, IF(J96=[9]Legend!$A$70, [9]Legend!$B$70, IF(J96=[9]Legend!$A$71, [9]Legend!$B$71, IF(J96=[9]Legend!$A$72, [9]Legend!$B$72, IF(J96=[9]Legend!$A$73, [9]Legend!$B$73, (IF(J96=[9]Legend!$A$74, [9]Legend!$B$74, IF(J96=[9]Legend!$A$75, [9]Legend!$B$75, "")))))))))))</f>
        <v>5</v>
      </c>
      <c r="L96" s="33">
        <v>5</v>
      </c>
      <c r="M96" s="33">
        <v>0</v>
      </c>
      <c r="N96" s="33"/>
      <c r="O96" s="33" t="s">
        <v>135</v>
      </c>
    </row>
    <row r="97" spans="1:15" ht="14" customHeight="1" x14ac:dyDescent="0.45">
      <c r="A97" s="32">
        <v>45525</v>
      </c>
      <c r="B97" s="33" t="s">
        <v>85</v>
      </c>
      <c r="C97" s="33" t="s">
        <v>37</v>
      </c>
      <c r="D97" s="33">
        <v>1</v>
      </c>
      <c r="E97" s="33">
        <v>6</v>
      </c>
      <c r="F97" s="41">
        <v>1</v>
      </c>
      <c r="G97" s="32">
        <v>45361</v>
      </c>
      <c r="H97" s="33" t="s">
        <v>91</v>
      </c>
      <c r="I97" s="33">
        <v>1</v>
      </c>
      <c r="J97" s="33" t="s">
        <v>69</v>
      </c>
      <c r="K97" s="34">
        <f>IF(J97=[9]Legend!$A$67,[9]Legend!$B$67,(IF(J97=[9]Legend!$A$68,[9]Legend!$B$68,IF(J97=[9]Legend!$A$69, [9]Legend!$B$69, IF(J97=[9]Legend!$A$70, [9]Legend!$B$70, IF(J97=[9]Legend!$A$71, [9]Legend!$B$71, IF(J97=[9]Legend!$A$72, [9]Legend!$B$72, IF(J97=[9]Legend!$A$73, [9]Legend!$B$73, (IF(J97=[9]Legend!$A$74, [9]Legend!$B$74, IF(J97=[9]Legend!$A$75, [9]Legend!$B$75, "")))))))))))</f>
        <v>120</v>
      </c>
      <c r="L97" s="33">
        <v>122</v>
      </c>
      <c r="M97" s="33">
        <v>0</v>
      </c>
      <c r="N97" s="33"/>
      <c r="O97" s="33" t="s">
        <v>135</v>
      </c>
    </row>
    <row r="98" spans="1:15" ht="14" customHeight="1" x14ac:dyDescent="0.45">
      <c r="A98" s="32">
        <v>45532</v>
      </c>
      <c r="B98" s="33" t="s">
        <v>85</v>
      </c>
      <c r="C98" s="33" t="s">
        <v>90</v>
      </c>
      <c r="D98" s="33">
        <v>2</v>
      </c>
      <c r="E98" s="33">
        <v>6</v>
      </c>
      <c r="F98" s="33">
        <v>1</v>
      </c>
      <c r="G98" s="32">
        <v>45566</v>
      </c>
      <c r="H98" s="33" t="s">
        <v>43</v>
      </c>
      <c r="I98" s="33">
        <v>1</v>
      </c>
      <c r="J98" s="33" t="s">
        <v>18</v>
      </c>
      <c r="K98" s="34">
        <f>IF(J98=[18]Legend!$A$66,[18]Legend!$B$66,(IF(J98=[18]Legend!$A$67,[18]Legend!$B$67,IF(J98=[18]Legend!$A$68, [18]Legend!$B$68, IF(J98=[18]Legend!$A$69, [18]Legend!$B$69, IF(J98=[18]Legend!$A$70, [18]Legend!$B$70, IF(J98=[18]Legend!$A$71, [18]Legend!$B$71, IF(J98=[18]Legend!$A$72, [18]Legend!$B$72, (IF(J98=[18]Legend!$A$73, [18]Legend!$B$73, IF(J98=[18]Legend!$A$74, [18]Legend!$B$74, "")))))))))))</f>
        <v>5</v>
      </c>
      <c r="L98" s="33">
        <v>0</v>
      </c>
      <c r="M98" s="33"/>
      <c r="N98" s="33"/>
      <c r="O98" s="33"/>
    </row>
    <row r="99" spans="1:15" ht="14" customHeight="1" x14ac:dyDescent="0.45">
      <c r="A99" s="32">
        <v>45532</v>
      </c>
      <c r="B99" s="33" t="s">
        <v>85</v>
      </c>
      <c r="C99" s="33" t="s">
        <v>90</v>
      </c>
      <c r="D99" s="33">
        <v>2</v>
      </c>
      <c r="E99" s="33">
        <v>6</v>
      </c>
      <c r="F99" s="33">
        <v>1</v>
      </c>
      <c r="G99" s="32">
        <v>45566</v>
      </c>
      <c r="H99" s="33" t="s">
        <v>43</v>
      </c>
      <c r="I99" s="33">
        <v>1</v>
      </c>
      <c r="J99" s="33" t="s">
        <v>60</v>
      </c>
      <c r="K99" s="34">
        <f>IF(J99=[18]Legend!$A$66,[18]Legend!$B$66,(IF(J99=[18]Legend!$A$67,[18]Legend!$B$67,IF(J99=[18]Legend!$A$68, [18]Legend!$B$68, IF(J99=[18]Legend!$A$69, [18]Legend!$B$69, IF(J99=[18]Legend!$A$70, [18]Legend!$B$70, IF(J99=[18]Legend!$A$71, [18]Legend!$B$71, IF(J99=[18]Legend!$A$72, [18]Legend!$B$72, (IF(J99=[18]Legend!$A$73, [18]Legend!$B$73, IF(J99=[18]Legend!$A$74, [18]Legend!$B$74, "")))))))))))</f>
        <v>25</v>
      </c>
      <c r="L99" s="33">
        <v>0</v>
      </c>
      <c r="M99" s="33"/>
      <c r="N99" s="33"/>
      <c r="O99" s="33"/>
    </row>
    <row r="100" spans="1:15" ht="14" customHeight="1" x14ac:dyDescent="0.45">
      <c r="A100" s="32">
        <v>45532</v>
      </c>
      <c r="B100" s="33" t="s">
        <v>85</v>
      </c>
      <c r="C100" s="33" t="s">
        <v>90</v>
      </c>
      <c r="D100" s="33">
        <v>2</v>
      </c>
      <c r="E100" s="33">
        <v>6</v>
      </c>
      <c r="F100" s="33">
        <v>1</v>
      </c>
      <c r="G100" s="32">
        <v>45566</v>
      </c>
      <c r="H100" s="33" t="s">
        <v>43</v>
      </c>
      <c r="I100" s="33">
        <v>1</v>
      </c>
      <c r="J100" s="33" t="s">
        <v>69</v>
      </c>
      <c r="K100" s="34">
        <f>IF(J100=[18]Legend!$A$66,[18]Legend!$B$66,(IF(J100=[18]Legend!$A$67,[18]Legend!$B$67,IF(J100=[18]Legend!$A$68, [18]Legend!$B$68, IF(J100=[18]Legend!$A$69, [18]Legend!$B$69, IF(J100=[18]Legend!$A$70, [18]Legend!$B$70, IF(J100=[18]Legend!$A$71, [18]Legend!$B$71, IF(J100=[18]Legend!$A$72, [18]Legend!$B$72, (IF(J100=[18]Legend!$A$73, [18]Legend!$B$73, IF(J100=[18]Legend!$A$74, [18]Legend!$B$74, "")))))))))))</f>
        <v>120</v>
      </c>
      <c r="L100" s="33">
        <v>1</v>
      </c>
      <c r="M100" s="33"/>
      <c r="N100" s="33"/>
      <c r="O100" s="33"/>
    </row>
    <row r="101" spans="1:15" ht="14" customHeight="1" x14ac:dyDescent="0.45">
      <c r="A101" s="32">
        <v>45532</v>
      </c>
      <c r="B101" s="33" t="s">
        <v>85</v>
      </c>
      <c r="C101" s="33" t="s">
        <v>90</v>
      </c>
      <c r="D101" s="33">
        <v>2</v>
      </c>
      <c r="E101" s="33">
        <v>6</v>
      </c>
      <c r="F101" s="33">
        <v>2</v>
      </c>
      <c r="G101" s="32">
        <v>45566</v>
      </c>
      <c r="H101" s="33" t="s">
        <v>43</v>
      </c>
      <c r="I101" s="33">
        <v>1</v>
      </c>
      <c r="J101" s="33" t="s">
        <v>18</v>
      </c>
      <c r="K101" s="34">
        <f>IF(J101=[18]Legend!$A$66,[18]Legend!$B$66,(IF(J101=[18]Legend!$A$67,[18]Legend!$B$67,IF(J101=[18]Legend!$A$68, [18]Legend!$B$68, IF(J101=[18]Legend!$A$69, [18]Legend!$B$69, IF(J101=[18]Legend!$A$70, [18]Legend!$B$70, IF(J101=[18]Legend!$A$71, [18]Legend!$B$71, IF(J101=[18]Legend!$A$72, [18]Legend!$B$72, (IF(J101=[18]Legend!$A$73, [18]Legend!$B$73, IF(J101=[18]Legend!$A$74, [18]Legend!$B$74, "")))))))))))</f>
        <v>5</v>
      </c>
      <c r="L101" s="33">
        <v>5</v>
      </c>
      <c r="M101" s="33"/>
      <c r="N101" s="33"/>
      <c r="O101" s="33"/>
    </row>
    <row r="102" spans="1:15" ht="14" customHeight="1" x14ac:dyDescent="0.45">
      <c r="A102" s="32">
        <v>45532</v>
      </c>
      <c r="B102" s="33" t="s">
        <v>85</v>
      </c>
      <c r="C102" s="33" t="s">
        <v>90</v>
      </c>
      <c r="D102" s="33">
        <v>2</v>
      </c>
      <c r="E102" s="33">
        <v>6</v>
      </c>
      <c r="F102" s="33">
        <v>2</v>
      </c>
      <c r="G102" s="32">
        <v>45566</v>
      </c>
      <c r="H102" s="33" t="s">
        <v>43</v>
      </c>
      <c r="I102" s="33">
        <v>1</v>
      </c>
      <c r="J102" s="33" t="s">
        <v>60</v>
      </c>
      <c r="K102" s="34">
        <f>IF(J102=[18]Legend!$A$66,[18]Legend!$B$66,(IF(J102=[18]Legend!$A$67,[18]Legend!$B$67,IF(J102=[18]Legend!$A$68, [18]Legend!$B$68, IF(J102=[18]Legend!$A$69, [18]Legend!$B$69, IF(J102=[18]Legend!$A$70, [18]Legend!$B$70, IF(J102=[18]Legend!$A$71, [18]Legend!$B$71, IF(J102=[18]Legend!$A$72, [18]Legend!$B$72, (IF(J102=[18]Legend!$A$73, [18]Legend!$B$73, IF(J102=[18]Legend!$A$74, [18]Legend!$B$74, "")))))))))))</f>
        <v>25</v>
      </c>
      <c r="L102" s="33">
        <v>25</v>
      </c>
      <c r="M102" s="33"/>
      <c r="N102" s="33"/>
      <c r="O102" s="33"/>
    </row>
    <row r="103" spans="1:15" ht="14" customHeight="1" x14ac:dyDescent="0.45">
      <c r="A103" s="32">
        <v>45532</v>
      </c>
      <c r="B103" s="33" t="s">
        <v>85</v>
      </c>
      <c r="C103" s="33" t="s">
        <v>90</v>
      </c>
      <c r="D103" s="33">
        <v>2</v>
      </c>
      <c r="E103" s="33">
        <v>6</v>
      </c>
      <c r="F103" s="33">
        <v>2</v>
      </c>
      <c r="G103" s="32">
        <v>45566</v>
      </c>
      <c r="H103" s="33" t="s">
        <v>43</v>
      </c>
      <c r="I103" s="33">
        <v>1</v>
      </c>
      <c r="J103" s="33" t="s">
        <v>69</v>
      </c>
      <c r="K103" s="34">
        <f>IF(J103=[18]Legend!$A$66,[18]Legend!$B$66,(IF(J103=[18]Legend!$A$67,[18]Legend!$B$67,IF(J103=[18]Legend!$A$68, [18]Legend!$B$68, IF(J103=[18]Legend!$A$69, [18]Legend!$B$69, IF(J103=[18]Legend!$A$70, [18]Legend!$B$70, IF(J103=[18]Legend!$A$71, [18]Legend!$B$71, IF(J103=[18]Legend!$A$72, [18]Legend!$B$72, (IF(J103=[18]Legend!$A$73, [18]Legend!$B$73, IF(J103=[18]Legend!$A$74, [18]Legend!$B$74, "")))))))))))</f>
        <v>120</v>
      </c>
      <c r="L103" s="33">
        <v>120</v>
      </c>
      <c r="M103" s="33"/>
      <c r="N103" s="33"/>
      <c r="O103" s="33"/>
    </row>
    <row r="104" spans="1:15" ht="14" customHeight="1" x14ac:dyDescent="0.45">
      <c r="A104" s="32">
        <v>9014</v>
      </c>
      <c r="B104" s="33" t="s">
        <v>85</v>
      </c>
      <c r="C104" s="33" t="s">
        <v>16</v>
      </c>
      <c r="D104" s="33">
        <v>3</v>
      </c>
      <c r="E104" s="33">
        <v>6</v>
      </c>
      <c r="F104" s="33">
        <v>2</v>
      </c>
      <c r="G104" s="32">
        <v>9036</v>
      </c>
      <c r="H104" s="33" t="s">
        <v>86</v>
      </c>
      <c r="I104" s="33">
        <v>1</v>
      </c>
      <c r="J104" s="33" t="s">
        <v>18</v>
      </c>
      <c r="K104" s="34">
        <f>IF(J104=[2]Legend!$A$66,[2]Legend!$B$66,(IF(J104=[2]Legend!$A$67,[2]Legend!$B$67,IF(J104=[2]Legend!$A$68, [2]Legend!$B$68, IF(J104=[2]Legend!$A$69, [2]Legend!$B$69, IF(J104=[2]Legend!$A$70, [2]Legend!$B$70, IF(J104=[2]Legend!$A$71, [2]Legend!$B$71, IF(J104=[2]Legend!$A$72, [2]Legend!$B$72, (IF(J104=[2]Legend!$A$73, [2]Legend!$B$73, IF(J104=[2]Legend!$A$74, [2]Legend!$B$74, "")))))))))))</f>
        <v>5</v>
      </c>
      <c r="L104" s="33">
        <v>5</v>
      </c>
      <c r="M104" s="33">
        <v>1</v>
      </c>
      <c r="N104" s="33" t="s">
        <v>21</v>
      </c>
      <c r="O104" s="33"/>
    </row>
    <row r="105" spans="1:15" ht="14" customHeight="1" x14ac:dyDescent="0.45">
      <c r="A105" s="32">
        <v>9014</v>
      </c>
      <c r="B105" s="33" t="s">
        <v>85</v>
      </c>
      <c r="C105" s="33" t="s">
        <v>16</v>
      </c>
      <c r="D105" s="33">
        <v>3</v>
      </c>
      <c r="E105" s="33">
        <v>6</v>
      </c>
      <c r="F105" s="33">
        <v>2</v>
      </c>
      <c r="G105" s="32">
        <v>9036</v>
      </c>
      <c r="H105" s="33" t="s">
        <v>86</v>
      </c>
      <c r="I105" s="33">
        <v>1</v>
      </c>
      <c r="J105" s="33" t="s">
        <v>60</v>
      </c>
      <c r="K105" s="34">
        <f>IF(J105=[2]Legend!$A$66,[2]Legend!$B$66,(IF(J105=[2]Legend!$A$67,[2]Legend!$B$67,IF(J105=[2]Legend!$A$68, [2]Legend!$B$68, IF(J105=[2]Legend!$A$69, [2]Legend!$B$69, IF(J105=[2]Legend!$A$70, [2]Legend!$B$70, IF(J105=[2]Legend!$A$71, [2]Legend!$B$71, IF(J105=[2]Legend!$A$72, [2]Legend!$B$72, (IF(J105=[2]Legend!$A$73, [2]Legend!$B$73, IF(J105=[2]Legend!$A$74, [2]Legend!$B$74, "")))))))))))</f>
        <v>25</v>
      </c>
      <c r="L105" s="33">
        <v>25</v>
      </c>
      <c r="M105" s="33"/>
      <c r="N105" s="33"/>
      <c r="O105" s="33"/>
    </row>
    <row r="106" spans="1:15" ht="14" customHeight="1" x14ac:dyDescent="0.45">
      <c r="A106" s="32">
        <v>9014</v>
      </c>
      <c r="B106" s="33" t="s">
        <v>85</v>
      </c>
      <c r="C106" s="33" t="s">
        <v>16</v>
      </c>
      <c r="D106" s="33">
        <v>3</v>
      </c>
      <c r="E106" s="33">
        <v>6</v>
      </c>
      <c r="F106" s="33">
        <v>2</v>
      </c>
      <c r="G106" s="32">
        <v>9036</v>
      </c>
      <c r="H106" s="33" t="s">
        <v>86</v>
      </c>
      <c r="I106" s="33">
        <v>1</v>
      </c>
      <c r="J106" s="33" t="s">
        <v>69</v>
      </c>
      <c r="K106" s="34">
        <f>IF(J106=[2]Legend!$A$66,[2]Legend!$B$66,(IF(J106=[2]Legend!$A$67,[2]Legend!$B$67,IF(J106=[2]Legend!$A$68, [2]Legend!$B$68, IF(J106=[2]Legend!$A$69, [2]Legend!$B$69, IF(J106=[2]Legend!$A$70, [2]Legend!$B$70, IF(J106=[2]Legend!$A$71, [2]Legend!$B$71, IF(J106=[2]Legend!$A$72, [2]Legend!$B$72, (IF(J106=[2]Legend!$A$73, [2]Legend!$B$73, IF(J106=[2]Legend!$A$74, [2]Legend!$B$74, "")))))))))))</f>
        <v>120</v>
      </c>
      <c r="L106" s="33">
        <v>120</v>
      </c>
      <c r="M106" s="33">
        <v>1</v>
      </c>
      <c r="N106" s="33" t="s">
        <v>30</v>
      </c>
      <c r="O106" s="33" t="s">
        <v>88</v>
      </c>
    </row>
    <row r="107" spans="1:15" ht="14" customHeight="1" x14ac:dyDescent="0.45">
      <c r="A107" s="32">
        <v>45539</v>
      </c>
      <c r="B107" s="33" t="s">
        <v>85</v>
      </c>
      <c r="C107" s="33" t="s">
        <v>37</v>
      </c>
      <c r="D107" s="40">
        <v>3</v>
      </c>
      <c r="E107" s="33">
        <v>6</v>
      </c>
      <c r="F107" s="33">
        <v>1</v>
      </c>
      <c r="G107" s="32">
        <v>45561</v>
      </c>
      <c r="H107" s="33" t="s">
        <v>108</v>
      </c>
      <c r="I107" s="33">
        <v>1</v>
      </c>
      <c r="J107" s="33" t="s">
        <v>60</v>
      </c>
      <c r="K107" s="34">
        <f>IF(J107=[7]Legend!$A$66,[7]Legend!$B$66,(IF(J107=[7]Legend!$A$67,[7]Legend!$B$67,IF(J107=[7]Legend!$A$68, [7]Legend!$B$68, IF(J107=[7]Legend!$A$69, [7]Legend!$B$69, IF(J107=[7]Legend!$A$70, [7]Legend!$B$70, IF(J107=[7]Legend!$A$71, [7]Legend!$B$71, IF(J107=[7]Legend!$A$72, [7]Legend!$B$72, (IF(J107=[7]Legend!$A$73, [7]Legend!$B$73, IF(J107=[7]Legend!$A$74, [7]Legend!$B$74, "")))))))))))</f>
        <v>25</v>
      </c>
      <c r="L107" s="33">
        <v>1</v>
      </c>
      <c r="M107" s="33"/>
      <c r="N107" s="33"/>
      <c r="O107" s="33" t="s">
        <v>119</v>
      </c>
    </row>
    <row r="108" spans="1:15" ht="14" customHeight="1" x14ac:dyDescent="0.45">
      <c r="A108" s="32">
        <v>45539</v>
      </c>
      <c r="B108" s="33" t="s">
        <v>85</v>
      </c>
      <c r="C108" s="33" t="s">
        <v>37</v>
      </c>
      <c r="D108" s="40">
        <v>3</v>
      </c>
      <c r="E108" s="33">
        <v>6</v>
      </c>
      <c r="F108" s="33">
        <v>1</v>
      </c>
      <c r="G108" s="32">
        <v>45561</v>
      </c>
      <c r="H108" s="33" t="s">
        <v>108</v>
      </c>
      <c r="I108" s="33">
        <v>1</v>
      </c>
      <c r="J108" s="33" t="s">
        <v>18</v>
      </c>
      <c r="K108" s="34">
        <f>IF(J108=[7]Legend!$A$66,[7]Legend!$B$66,(IF(J108=[7]Legend!$A$67,[7]Legend!$B$67,IF(J108=[7]Legend!$A$68, [7]Legend!$B$68, IF(J108=[7]Legend!$A$69, [7]Legend!$B$69, IF(J108=[7]Legend!$A$70, [7]Legend!$B$70, IF(J108=[7]Legend!$A$71, [7]Legend!$B$71, IF(J108=[7]Legend!$A$72, [7]Legend!$B$72, (IF(J108=[7]Legend!$A$73, [7]Legend!$B$73, IF(J108=[7]Legend!$A$74, [7]Legend!$B$74, "")))))))))))</f>
        <v>5</v>
      </c>
      <c r="L108" s="33">
        <v>0</v>
      </c>
      <c r="M108" s="33"/>
      <c r="N108" s="33"/>
      <c r="O108" s="33"/>
    </row>
    <row r="109" spans="1:15" ht="14" customHeight="1" x14ac:dyDescent="0.45">
      <c r="A109" s="32">
        <v>45539</v>
      </c>
      <c r="B109" s="33" t="s">
        <v>85</v>
      </c>
      <c r="C109" s="33" t="s">
        <v>37</v>
      </c>
      <c r="D109" s="40">
        <v>3</v>
      </c>
      <c r="E109" s="33">
        <v>6</v>
      </c>
      <c r="F109" s="33">
        <v>1</v>
      </c>
      <c r="G109" s="32">
        <v>45561</v>
      </c>
      <c r="H109" s="33" t="s">
        <v>108</v>
      </c>
      <c r="I109" s="33">
        <v>1</v>
      </c>
      <c r="J109" s="33" t="s">
        <v>69</v>
      </c>
      <c r="K109" s="34">
        <f>IF(J109=[7]Legend!$A$66,[7]Legend!$B$66,(IF(J109=[7]Legend!$A$67,[7]Legend!$B$67,IF(J109=[7]Legend!$A$68, [7]Legend!$B$68, IF(J109=[7]Legend!$A$69, [7]Legend!$B$69, IF(J109=[7]Legend!$A$70, [7]Legend!$B$70, IF(J109=[7]Legend!$A$71, [7]Legend!$B$71, IF(J109=[7]Legend!$A$72, [7]Legend!$B$72, (IF(J109=[7]Legend!$A$73, [7]Legend!$B$73, IF(J109=[7]Legend!$A$74, [7]Legend!$B$74, "")))))))))))</f>
        <v>120</v>
      </c>
      <c r="L109" s="33">
        <v>0</v>
      </c>
      <c r="M109" s="33"/>
      <c r="N109" s="33"/>
      <c r="O109" s="33"/>
    </row>
    <row r="110" spans="1:15" ht="14" customHeight="1" x14ac:dyDescent="0.45">
      <c r="A110" s="32">
        <v>45525</v>
      </c>
      <c r="B110" s="33" t="s">
        <v>85</v>
      </c>
      <c r="C110" s="33" t="s">
        <v>93</v>
      </c>
      <c r="D110" s="33">
        <v>1</v>
      </c>
      <c r="E110" s="33">
        <v>7</v>
      </c>
      <c r="F110" s="33">
        <v>1</v>
      </c>
      <c r="G110" s="32">
        <v>45548</v>
      </c>
      <c r="H110" s="33" t="s">
        <v>43</v>
      </c>
      <c r="I110" s="33">
        <v>1</v>
      </c>
      <c r="J110" s="33" t="s">
        <v>18</v>
      </c>
      <c r="K110" s="34">
        <f>IF(J110=[16]Legend!$A$66,[16]Legend!$B$66,(IF(J110=[16]Legend!$A$67,[16]Legend!$B$67,IF(J110=[16]Legend!$A$68, [16]Legend!$B$68, IF(J110=[16]Legend!$A$69, [16]Legend!$B$69, IF(J110=[16]Legend!$A$70, [16]Legend!$B$70, IF(J110=[16]Legend!$A$71, [16]Legend!$B$71, IF(J110=[16]Legend!$A$72, [16]Legend!$B$72, (IF(J110=[16]Legend!$A$73, [16]Legend!$B$73, IF(J110=[16]Legend!$A$74, [16]Legend!$B$74, "")))))))))))</f>
        <v>5</v>
      </c>
      <c r="L110" s="33">
        <v>5</v>
      </c>
      <c r="M110" s="33"/>
      <c r="N110" s="33"/>
      <c r="O110" s="33"/>
    </row>
    <row r="111" spans="1:15" ht="14" customHeight="1" x14ac:dyDescent="0.45">
      <c r="A111" s="32">
        <v>45525</v>
      </c>
      <c r="B111" s="33" t="s">
        <v>85</v>
      </c>
      <c r="C111" s="33" t="s">
        <v>93</v>
      </c>
      <c r="D111" s="33">
        <v>1</v>
      </c>
      <c r="E111" s="33">
        <v>7</v>
      </c>
      <c r="F111" s="33">
        <v>1</v>
      </c>
      <c r="G111" s="32">
        <v>45548</v>
      </c>
      <c r="H111" s="33" t="s">
        <v>43</v>
      </c>
      <c r="I111" s="33">
        <v>1</v>
      </c>
      <c r="J111" s="33" t="s">
        <v>60</v>
      </c>
      <c r="K111" s="34">
        <f>IF(J111=[16]Legend!$A$66,[16]Legend!$B$66,(IF(J111=[16]Legend!$A$67,[16]Legend!$B$67,IF(J111=[16]Legend!$A$68, [16]Legend!$B$68, IF(J111=[16]Legend!$A$69, [16]Legend!$B$69, IF(J111=[16]Legend!$A$70, [16]Legend!$B$70, IF(J111=[16]Legend!$A$71, [16]Legend!$B$71, IF(J111=[16]Legend!$A$72, [16]Legend!$B$72, (IF(J111=[16]Legend!$A$73, [16]Legend!$B$73, IF(J111=[16]Legend!$A$74, [16]Legend!$B$74, "")))))))))))</f>
        <v>25</v>
      </c>
      <c r="L111" s="33">
        <v>24</v>
      </c>
      <c r="M111" s="33"/>
      <c r="N111" s="33"/>
      <c r="O111" s="33"/>
    </row>
    <row r="112" spans="1:15" ht="14" customHeight="1" x14ac:dyDescent="0.45">
      <c r="A112" s="32">
        <v>45525</v>
      </c>
      <c r="B112" s="33" t="s">
        <v>85</v>
      </c>
      <c r="C112" s="33" t="s">
        <v>93</v>
      </c>
      <c r="D112" s="33">
        <v>1</v>
      </c>
      <c r="E112" s="33">
        <v>7</v>
      </c>
      <c r="F112" s="33">
        <v>1</v>
      </c>
      <c r="G112" s="32">
        <v>45548</v>
      </c>
      <c r="H112" s="33" t="s">
        <v>43</v>
      </c>
      <c r="I112" s="33">
        <v>1</v>
      </c>
      <c r="J112" s="33" t="s">
        <v>69</v>
      </c>
      <c r="K112" s="34">
        <f>IF(J112=[16]Legend!$A$66,[16]Legend!$B$66,(IF(J112=[16]Legend!$A$67,[16]Legend!$B$67,IF(J112=[16]Legend!$A$68, [16]Legend!$B$68, IF(J112=[16]Legend!$A$69, [16]Legend!$B$69, IF(J112=[16]Legend!$A$70, [16]Legend!$B$70, IF(J112=[16]Legend!$A$71, [16]Legend!$B$71, IF(J112=[16]Legend!$A$72, [16]Legend!$B$72, (IF(J112=[16]Legend!$A$73, [16]Legend!$B$73, IF(J112=[16]Legend!$A$74, [16]Legend!$B$74, "")))))))))))</f>
        <v>120</v>
      </c>
      <c r="L112" s="33">
        <v>119</v>
      </c>
      <c r="M112" s="33"/>
      <c r="N112" s="33"/>
      <c r="O112" s="33"/>
    </row>
    <row r="113" spans="1:15" ht="14" customHeight="1" x14ac:dyDescent="0.45">
      <c r="A113" s="32">
        <v>45525</v>
      </c>
      <c r="B113" s="33" t="s">
        <v>85</v>
      </c>
      <c r="C113" s="33" t="s">
        <v>16</v>
      </c>
      <c r="D113" s="33">
        <v>1</v>
      </c>
      <c r="E113" s="33">
        <v>7</v>
      </c>
      <c r="F113" s="33">
        <v>2</v>
      </c>
      <c r="G113" s="32">
        <v>45553</v>
      </c>
      <c r="H113" s="33" t="s">
        <v>16</v>
      </c>
      <c r="I113" s="33">
        <v>1</v>
      </c>
      <c r="J113" s="33" t="s">
        <v>18</v>
      </c>
      <c r="K113" s="34">
        <f>IF(J113=[17]Legend!$A$66,[17]Legend!$B$66,(IF(J113=[17]Legend!$A$67,[17]Legend!$B$67,IF(J113=[17]Legend!$A$68, [17]Legend!$B$68, IF(J113=[17]Legend!$A$69, [17]Legend!$B$69, IF(J113=[17]Legend!$A$70, [17]Legend!$B$70, IF(J113=[17]Legend!$A$71, [17]Legend!$B$71, IF(J113=[17]Legend!$A$72, [17]Legend!$B$72, (IF(J113=[17]Legend!$A$73, [17]Legend!$B$73, IF(J113=[17]Legend!$A$74, [17]Legend!$B$74, "")))))))))))</f>
        <v>5</v>
      </c>
      <c r="L113" s="33">
        <v>5</v>
      </c>
      <c r="M113" s="33"/>
      <c r="N113" s="33"/>
      <c r="O113" s="33" t="s">
        <v>165</v>
      </c>
    </row>
    <row r="114" spans="1:15" ht="14" customHeight="1" x14ac:dyDescent="0.45">
      <c r="A114" s="32">
        <v>45525</v>
      </c>
      <c r="B114" s="33" t="s">
        <v>85</v>
      </c>
      <c r="C114" s="33" t="s">
        <v>16</v>
      </c>
      <c r="D114" s="33">
        <v>1</v>
      </c>
      <c r="E114" s="33">
        <v>7</v>
      </c>
      <c r="F114" s="33">
        <v>2</v>
      </c>
      <c r="G114" s="32">
        <v>45553</v>
      </c>
      <c r="H114" s="33" t="s">
        <v>16</v>
      </c>
      <c r="I114" s="33">
        <v>1</v>
      </c>
      <c r="J114" s="33" t="s">
        <v>60</v>
      </c>
      <c r="K114" s="34">
        <f>IF(J114=[17]Legend!$A$66,[17]Legend!$B$66,(IF(J114=[17]Legend!$A$67,[17]Legend!$B$67,IF(J114=[17]Legend!$A$68, [17]Legend!$B$68, IF(J114=[17]Legend!$A$69, [17]Legend!$B$69, IF(J114=[17]Legend!$A$70, [17]Legend!$B$70, IF(J114=[17]Legend!$A$71, [17]Legend!$B$71, IF(J114=[17]Legend!$A$72, [17]Legend!$B$72, (IF(J114=[17]Legend!$A$73, [17]Legend!$B$73, IF(J114=[17]Legend!$A$74, [17]Legend!$B$74, "")))))))))))</f>
        <v>25</v>
      </c>
      <c r="L114" s="33">
        <v>25</v>
      </c>
      <c r="M114" s="33"/>
      <c r="N114" s="33"/>
      <c r="O114" s="33"/>
    </row>
    <row r="115" spans="1:15" ht="14" customHeight="1" x14ac:dyDescent="0.45">
      <c r="A115" s="32">
        <v>45525</v>
      </c>
      <c r="B115" s="33" t="s">
        <v>85</v>
      </c>
      <c r="C115" s="33" t="s">
        <v>16</v>
      </c>
      <c r="D115" s="33">
        <v>1</v>
      </c>
      <c r="E115" s="33">
        <v>7</v>
      </c>
      <c r="F115" s="33">
        <v>2</v>
      </c>
      <c r="G115" s="32">
        <v>45553</v>
      </c>
      <c r="H115" s="33" t="s">
        <v>16</v>
      </c>
      <c r="I115" s="33">
        <v>1</v>
      </c>
      <c r="J115" s="33" t="s">
        <v>69</v>
      </c>
      <c r="K115" s="34">
        <f>IF(J115=[17]Legend!$A$66,[17]Legend!$B$66,(IF(J115=[17]Legend!$A$67,[17]Legend!$B$67,IF(J115=[17]Legend!$A$68, [17]Legend!$B$68, IF(J115=[17]Legend!$A$69, [17]Legend!$B$69, IF(J115=[17]Legend!$A$70, [17]Legend!$B$70, IF(J115=[17]Legend!$A$71, [17]Legend!$B$71, IF(J115=[17]Legend!$A$72, [17]Legend!$B$72, (IF(J115=[17]Legend!$A$73, [17]Legend!$B$73, IF(J115=[17]Legend!$A$74, [17]Legend!$B$74, "")))))))))))</f>
        <v>120</v>
      </c>
      <c r="L115" s="33">
        <v>117</v>
      </c>
      <c r="M115" s="33">
        <v>1</v>
      </c>
      <c r="N115" s="33" t="s">
        <v>30</v>
      </c>
      <c r="O115" s="33"/>
    </row>
    <row r="116" spans="1:15" ht="14" customHeight="1" x14ac:dyDescent="0.45">
      <c r="A116" s="32">
        <v>45532</v>
      </c>
      <c r="B116" s="33" t="s">
        <v>85</v>
      </c>
      <c r="C116" s="33" t="s">
        <v>90</v>
      </c>
      <c r="D116" s="33">
        <v>2</v>
      </c>
      <c r="E116" s="33">
        <v>7</v>
      </c>
      <c r="F116" s="33">
        <v>1</v>
      </c>
      <c r="G116" s="32">
        <v>45566</v>
      </c>
      <c r="H116" s="33" t="s">
        <v>43</v>
      </c>
      <c r="I116" s="33">
        <v>1</v>
      </c>
      <c r="J116" s="33" t="s">
        <v>18</v>
      </c>
      <c r="K116" s="34">
        <f>IF(J116=[18]Legend!$A$66,[18]Legend!$B$66,(IF(J116=[18]Legend!$A$67,[18]Legend!$B$67,IF(J116=[18]Legend!$A$68, [18]Legend!$B$68, IF(J116=[18]Legend!$A$69, [18]Legend!$B$69, IF(J116=[18]Legend!$A$70, [18]Legend!$B$70, IF(J116=[18]Legend!$A$71, [18]Legend!$B$71, IF(J116=[18]Legend!$A$72, [18]Legend!$B$72, (IF(J116=[18]Legend!$A$73, [18]Legend!$B$73, IF(J116=[18]Legend!$A$74, [18]Legend!$B$74, "")))))))))))</f>
        <v>5</v>
      </c>
      <c r="L116" s="33">
        <v>5</v>
      </c>
      <c r="M116" s="33"/>
      <c r="N116" s="33"/>
      <c r="O116" s="33"/>
    </row>
    <row r="117" spans="1:15" ht="14" customHeight="1" x14ac:dyDescent="0.45">
      <c r="A117" s="32">
        <v>45532</v>
      </c>
      <c r="B117" s="33" t="s">
        <v>85</v>
      </c>
      <c r="C117" s="33" t="s">
        <v>90</v>
      </c>
      <c r="D117" s="33">
        <v>2</v>
      </c>
      <c r="E117" s="33">
        <v>7</v>
      </c>
      <c r="F117" s="33">
        <v>1</v>
      </c>
      <c r="G117" s="32">
        <v>45566</v>
      </c>
      <c r="H117" s="33" t="s">
        <v>43</v>
      </c>
      <c r="I117" s="33">
        <v>1</v>
      </c>
      <c r="J117" s="33" t="s">
        <v>60</v>
      </c>
      <c r="K117" s="34">
        <f>IF(J117=[18]Legend!$A$66,[18]Legend!$B$66,(IF(J117=[18]Legend!$A$67,[18]Legend!$B$67,IF(J117=[18]Legend!$A$68, [18]Legend!$B$68, IF(J117=[18]Legend!$A$69, [18]Legend!$B$69, IF(J117=[18]Legend!$A$70, [18]Legend!$B$70, IF(J117=[18]Legend!$A$71, [18]Legend!$B$71, IF(J117=[18]Legend!$A$72, [18]Legend!$B$72, (IF(J117=[18]Legend!$A$73, [18]Legend!$B$73, IF(J117=[18]Legend!$A$74, [18]Legend!$B$74, "")))))))))))</f>
        <v>25</v>
      </c>
      <c r="L117" s="33">
        <v>25</v>
      </c>
      <c r="M117" s="33"/>
      <c r="N117" s="33"/>
      <c r="O117" s="33"/>
    </row>
    <row r="118" spans="1:15" ht="14" customHeight="1" x14ac:dyDescent="0.45">
      <c r="A118" s="32">
        <v>45532</v>
      </c>
      <c r="B118" s="33" t="s">
        <v>85</v>
      </c>
      <c r="C118" s="33" t="s">
        <v>90</v>
      </c>
      <c r="D118" s="33">
        <v>2</v>
      </c>
      <c r="E118" s="33">
        <v>7</v>
      </c>
      <c r="F118" s="33">
        <v>1</v>
      </c>
      <c r="G118" s="32">
        <v>45566</v>
      </c>
      <c r="H118" s="33" t="s">
        <v>43</v>
      </c>
      <c r="I118" s="33">
        <v>1</v>
      </c>
      <c r="J118" s="33" t="s">
        <v>69</v>
      </c>
      <c r="K118" s="34">
        <f>IF(J118=[18]Legend!$A$66,[18]Legend!$B$66,(IF(J118=[18]Legend!$A$67,[18]Legend!$B$67,IF(J118=[18]Legend!$A$68, [18]Legend!$B$68, IF(J118=[18]Legend!$A$69, [18]Legend!$B$69, IF(J118=[18]Legend!$A$70, [18]Legend!$B$70, IF(J118=[18]Legend!$A$71, [18]Legend!$B$71, IF(J118=[18]Legend!$A$72, [18]Legend!$B$72, (IF(J118=[18]Legend!$A$73, [18]Legend!$B$73, IF(J118=[18]Legend!$A$74, [18]Legend!$B$74, "")))))))))))</f>
        <v>120</v>
      </c>
      <c r="L118" s="33">
        <v>118</v>
      </c>
      <c r="M118" s="33"/>
      <c r="N118" s="33"/>
      <c r="O118" s="33"/>
    </row>
    <row r="119" spans="1:15" ht="14" customHeight="1" x14ac:dyDescent="0.45">
      <c r="A119" s="32">
        <v>45532</v>
      </c>
      <c r="B119" s="33" t="s">
        <v>85</v>
      </c>
      <c r="C119" s="33" t="s">
        <v>90</v>
      </c>
      <c r="D119" s="33">
        <v>2</v>
      </c>
      <c r="E119" s="33">
        <v>7</v>
      </c>
      <c r="F119" s="33">
        <v>2</v>
      </c>
      <c r="G119" s="32">
        <v>45566</v>
      </c>
      <c r="H119" s="33" t="s">
        <v>43</v>
      </c>
      <c r="I119" s="33">
        <v>1</v>
      </c>
      <c r="J119" s="33" t="s">
        <v>18</v>
      </c>
      <c r="K119" s="34">
        <f>IF(J119=[18]Legend!$A$66,[18]Legend!$B$66,(IF(J119=[18]Legend!$A$67,[18]Legend!$B$67,IF(J119=[18]Legend!$A$68, [18]Legend!$B$68, IF(J119=[18]Legend!$A$69, [18]Legend!$B$69, IF(J119=[18]Legend!$A$70, [18]Legend!$B$70, IF(J119=[18]Legend!$A$71, [18]Legend!$B$71, IF(J119=[18]Legend!$A$72, [18]Legend!$B$72, (IF(J119=[18]Legend!$A$73, [18]Legend!$B$73, IF(J119=[18]Legend!$A$74, [18]Legend!$B$74, "")))))))))))</f>
        <v>5</v>
      </c>
      <c r="L119" s="33">
        <v>5</v>
      </c>
      <c r="M119" s="33"/>
      <c r="N119" s="33"/>
      <c r="O119" s="33"/>
    </row>
    <row r="120" spans="1:15" ht="14" customHeight="1" x14ac:dyDescent="0.45">
      <c r="A120" s="32">
        <v>45532</v>
      </c>
      <c r="B120" s="33" t="s">
        <v>85</v>
      </c>
      <c r="C120" s="33" t="s">
        <v>90</v>
      </c>
      <c r="D120" s="33">
        <v>2</v>
      </c>
      <c r="E120" s="33">
        <v>7</v>
      </c>
      <c r="F120" s="33">
        <v>2</v>
      </c>
      <c r="G120" s="32">
        <v>45566</v>
      </c>
      <c r="H120" s="33" t="s">
        <v>43</v>
      </c>
      <c r="I120" s="33">
        <v>1</v>
      </c>
      <c r="J120" s="33" t="s">
        <v>60</v>
      </c>
      <c r="K120" s="34">
        <f>IF(J120=[18]Legend!$A$66,[18]Legend!$B$66,(IF(J120=[18]Legend!$A$67,[18]Legend!$B$67,IF(J120=[18]Legend!$A$68, [18]Legend!$B$68, IF(J120=[18]Legend!$A$69, [18]Legend!$B$69, IF(J120=[18]Legend!$A$70, [18]Legend!$B$70, IF(J120=[18]Legend!$A$71, [18]Legend!$B$71, IF(J120=[18]Legend!$A$72, [18]Legend!$B$72, (IF(J120=[18]Legend!$A$73, [18]Legend!$B$73, IF(J120=[18]Legend!$A$74, [18]Legend!$B$74, "")))))))))))</f>
        <v>25</v>
      </c>
      <c r="L120" s="33">
        <v>25</v>
      </c>
      <c r="M120" s="33"/>
      <c r="N120" s="33"/>
      <c r="O120" s="33"/>
    </row>
    <row r="121" spans="1:15" ht="14" customHeight="1" x14ac:dyDescent="0.45">
      <c r="A121" s="32">
        <v>45532</v>
      </c>
      <c r="B121" s="33" t="s">
        <v>85</v>
      </c>
      <c r="C121" s="33" t="s">
        <v>90</v>
      </c>
      <c r="D121" s="33">
        <v>2</v>
      </c>
      <c r="E121" s="33">
        <v>7</v>
      </c>
      <c r="F121" s="33">
        <v>2</v>
      </c>
      <c r="G121" s="32">
        <v>45566</v>
      </c>
      <c r="H121" s="33" t="s">
        <v>43</v>
      </c>
      <c r="I121" s="33">
        <v>1</v>
      </c>
      <c r="J121" s="33" t="s">
        <v>69</v>
      </c>
      <c r="K121" s="34">
        <f>IF(J121=[18]Legend!$A$66,[18]Legend!$B$66,(IF(J121=[18]Legend!$A$67,[18]Legend!$B$67,IF(J121=[18]Legend!$A$68, [18]Legend!$B$68, IF(J121=[18]Legend!$A$69, [18]Legend!$B$69, IF(J121=[18]Legend!$A$70, [18]Legend!$B$70, IF(J121=[18]Legend!$A$71, [18]Legend!$B$71, IF(J121=[18]Legend!$A$72, [18]Legend!$B$72, (IF(J121=[18]Legend!$A$73, [18]Legend!$B$73, IF(J121=[18]Legend!$A$74, [18]Legend!$B$74, "")))))))))))</f>
        <v>120</v>
      </c>
      <c r="L121" s="33">
        <v>116</v>
      </c>
      <c r="M121" s="33"/>
      <c r="N121" s="33"/>
      <c r="O121" s="33" t="s">
        <v>168</v>
      </c>
    </row>
    <row r="122" spans="1:15" ht="14" customHeight="1" x14ac:dyDescent="0.45">
      <c r="A122" s="32">
        <v>9014</v>
      </c>
      <c r="B122" s="33" t="s">
        <v>85</v>
      </c>
      <c r="C122" s="33" t="s">
        <v>16</v>
      </c>
      <c r="D122" s="33">
        <v>3</v>
      </c>
      <c r="E122" s="33">
        <v>7</v>
      </c>
      <c r="F122" s="33">
        <v>1</v>
      </c>
      <c r="G122" s="32">
        <v>9036</v>
      </c>
      <c r="H122" s="33" t="s">
        <v>86</v>
      </c>
      <c r="I122" s="33">
        <v>1</v>
      </c>
      <c r="J122" s="33" t="s">
        <v>18</v>
      </c>
      <c r="K122" s="34">
        <f>IF(J122=[2]Legend!$A$66,[2]Legend!$B$66,(IF(J122=[2]Legend!$A$67,[2]Legend!$B$67,IF(J122=[2]Legend!$A$68, [2]Legend!$B$68, IF(J122=[2]Legend!$A$69, [2]Legend!$B$69, IF(J122=[2]Legend!$A$70, [2]Legend!$B$70, IF(J122=[2]Legend!$A$71, [2]Legend!$B$71, IF(J122=[2]Legend!$A$72, [2]Legend!$B$72, (IF(J122=[2]Legend!$A$73, [2]Legend!$B$73, IF(J122=[2]Legend!$A$74, [2]Legend!$B$74, "")))))))))))</f>
        <v>5</v>
      </c>
      <c r="L122" s="33">
        <v>0</v>
      </c>
      <c r="M122" s="33"/>
      <c r="N122" s="33"/>
      <c r="O122" s="33" t="s">
        <v>87</v>
      </c>
    </row>
    <row r="123" spans="1:15" ht="14" customHeight="1" x14ac:dyDescent="0.45">
      <c r="A123" s="32">
        <v>9014</v>
      </c>
      <c r="B123" s="33" t="s">
        <v>85</v>
      </c>
      <c r="C123" s="33" t="s">
        <v>16</v>
      </c>
      <c r="D123" s="33">
        <v>3</v>
      </c>
      <c r="E123" s="33">
        <v>7</v>
      </c>
      <c r="F123" s="33">
        <v>1</v>
      </c>
      <c r="G123" s="32">
        <v>9036</v>
      </c>
      <c r="H123" s="33" t="s">
        <v>86</v>
      </c>
      <c r="I123" s="33">
        <v>1</v>
      </c>
      <c r="J123" s="33" t="s">
        <v>60</v>
      </c>
      <c r="K123" s="34">
        <f>IF(J123=[2]Legend!$A$66,[2]Legend!$B$66,(IF(J123=[2]Legend!$A$67,[2]Legend!$B$67,IF(J123=[2]Legend!$A$68, [2]Legend!$B$68, IF(J123=[2]Legend!$A$69, [2]Legend!$B$69, IF(J123=[2]Legend!$A$70, [2]Legend!$B$70, IF(J123=[2]Legend!$A$71, [2]Legend!$B$71, IF(J123=[2]Legend!$A$72, [2]Legend!$B$72, (IF(J123=[2]Legend!$A$73, [2]Legend!$B$73, IF(J123=[2]Legend!$A$74, [2]Legend!$B$74, "")))))))))))</f>
        <v>25</v>
      </c>
      <c r="L123" s="33">
        <v>9</v>
      </c>
      <c r="M123" s="33">
        <v>9</v>
      </c>
      <c r="N123" s="33" t="s">
        <v>23</v>
      </c>
      <c r="O123" s="33" t="s">
        <v>87</v>
      </c>
    </row>
    <row r="124" spans="1:15" ht="14" customHeight="1" x14ac:dyDescent="0.45">
      <c r="A124" s="32">
        <v>9014</v>
      </c>
      <c r="B124" s="33" t="s">
        <v>85</v>
      </c>
      <c r="C124" s="33" t="s">
        <v>16</v>
      </c>
      <c r="D124" s="33">
        <v>3</v>
      </c>
      <c r="E124" s="33">
        <v>7</v>
      </c>
      <c r="F124" s="33">
        <v>1</v>
      </c>
      <c r="G124" s="32">
        <v>9036</v>
      </c>
      <c r="H124" s="33" t="s">
        <v>86</v>
      </c>
      <c r="I124" s="33">
        <v>1</v>
      </c>
      <c r="J124" s="33" t="s">
        <v>69</v>
      </c>
      <c r="K124" s="34">
        <f>IF(J124=[2]Legend!$A$66,[2]Legend!$B$66,(IF(J124=[2]Legend!$A$67,[2]Legend!$B$67,IF(J124=[2]Legend!$A$68, [2]Legend!$B$68, IF(J124=[2]Legend!$A$69, [2]Legend!$B$69, IF(J124=[2]Legend!$A$70, [2]Legend!$B$70, IF(J124=[2]Legend!$A$71, [2]Legend!$B$71, IF(J124=[2]Legend!$A$72, [2]Legend!$B$72, (IF(J124=[2]Legend!$A$73, [2]Legend!$B$73, IF(J124=[2]Legend!$A$74, [2]Legend!$B$74, "")))))))))))</f>
        <v>120</v>
      </c>
      <c r="L124" s="33">
        <v>120</v>
      </c>
      <c r="M124" s="33">
        <v>119</v>
      </c>
      <c r="N124" s="33" t="s">
        <v>23</v>
      </c>
      <c r="O124" s="33" t="s">
        <v>87</v>
      </c>
    </row>
    <row r="125" spans="1:15" ht="14" customHeight="1" x14ac:dyDescent="0.45">
      <c r="A125" s="32">
        <v>9014</v>
      </c>
      <c r="B125" s="33" t="s">
        <v>85</v>
      </c>
      <c r="C125" s="33" t="s">
        <v>43</v>
      </c>
      <c r="D125" s="33">
        <v>3</v>
      </c>
      <c r="E125" s="33">
        <v>7</v>
      </c>
      <c r="F125" s="33">
        <v>2</v>
      </c>
      <c r="G125" s="32">
        <v>9036</v>
      </c>
      <c r="H125" s="33" t="s">
        <v>86</v>
      </c>
      <c r="I125" s="33">
        <v>1</v>
      </c>
      <c r="J125" s="33" t="s">
        <v>18</v>
      </c>
      <c r="K125" s="34">
        <f>IF(J125=[2]Legend!$A$66,[2]Legend!$B$66,(IF(J125=[2]Legend!$A$67,[2]Legend!$B$67,IF(J125=[2]Legend!$A$68, [2]Legend!$B$68, IF(J125=[2]Legend!$A$69, [2]Legend!$B$69, IF(J125=[2]Legend!$A$70, [2]Legend!$B$70, IF(J125=[2]Legend!$A$71, [2]Legend!$B$71, IF(J125=[2]Legend!$A$72, [2]Legend!$B$72, (IF(J125=[2]Legend!$A$73, [2]Legend!$B$73, IF(J125=[2]Legend!$A$74, [2]Legend!$B$74, "")))))))))))</f>
        <v>5</v>
      </c>
      <c r="L125" s="33">
        <v>5</v>
      </c>
      <c r="M125" s="33">
        <v>1</v>
      </c>
      <c r="N125" s="33" t="s">
        <v>21</v>
      </c>
      <c r="O125" s="33"/>
    </row>
    <row r="126" spans="1:15" ht="14" customHeight="1" x14ac:dyDescent="0.45">
      <c r="A126" s="32">
        <v>9014</v>
      </c>
      <c r="B126" s="33" t="s">
        <v>85</v>
      </c>
      <c r="C126" s="33" t="s">
        <v>43</v>
      </c>
      <c r="D126" s="33">
        <v>3</v>
      </c>
      <c r="E126" s="33">
        <v>7</v>
      </c>
      <c r="F126" s="33">
        <v>2</v>
      </c>
      <c r="G126" s="32">
        <v>9036</v>
      </c>
      <c r="H126" s="33" t="s">
        <v>86</v>
      </c>
      <c r="I126" s="33">
        <v>1</v>
      </c>
      <c r="J126" s="33" t="s">
        <v>60</v>
      </c>
      <c r="K126" s="34">
        <f>IF(J126=[2]Legend!$A$66,[2]Legend!$B$66,(IF(J126=[2]Legend!$A$67,[2]Legend!$B$67,IF(J126=[2]Legend!$A$68, [2]Legend!$B$68, IF(J126=[2]Legend!$A$69, [2]Legend!$B$69, IF(J126=[2]Legend!$A$70, [2]Legend!$B$70, IF(J126=[2]Legend!$A$71, [2]Legend!$B$71, IF(J126=[2]Legend!$A$72, [2]Legend!$B$72, (IF(J126=[2]Legend!$A$73, [2]Legend!$B$73, IF(J126=[2]Legend!$A$74, [2]Legend!$B$74, "")))))))))))</f>
        <v>25</v>
      </c>
      <c r="L126" s="33">
        <v>25</v>
      </c>
      <c r="M126" s="33"/>
      <c r="N126" s="33"/>
      <c r="O126" s="33"/>
    </row>
    <row r="127" spans="1:15" ht="14" customHeight="1" x14ac:dyDescent="0.45">
      <c r="A127" s="32">
        <v>9014</v>
      </c>
      <c r="B127" s="33" t="s">
        <v>85</v>
      </c>
      <c r="C127" s="33" t="s">
        <v>43</v>
      </c>
      <c r="D127" s="33">
        <v>3</v>
      </c>
      <c r="E127" s="33">
        <v>7</v>
      </c>
      <c r="F127" s="33">
        <v>2</v>
      </c>
      <c r="G127" s="32">
        <v>9036</v>
      </c>
      <c r="H127" s="33" t="s">
        <v>86</v>
      </c>
      <c r="I127" s="33">
        <v>1</v>
      </c>
      <c r="J127" s="33" t="s">
        <v>69</v>
      </c>
      <c r="K127" s="34">
        <f>IF(J127=[2]Legend!$A$66,[2]Legend!$B$66,(IF(J127=[2]Legend!$A$67,[2]Legend!$B$67,IF(J127=[2]Legend!$A$68, [2]Legend!$B$68, IF(J127=[2]Legend!$A$69, [2]Legend!$B$69, IF(J127=[2]Legend!$A$70, [2]Legend!$B$70, IF(J127=[2]Legend!$A$71, [2]Legend!$B$71, IF(J127=[2]Legend!$A$72, [2]Legend!$B$72, (IF(J127=[2]Legend!$A$73, [2]Legend!$B$73, IF(J127=[2]Legend!$A$74, [2]Legend!$B$74, "")))))))))))</f>
        <v>120</v>
      </c>
      <c r="L127" s="33">
        <v>120</v>
      </c>
      <c r="M127" s="33">
        <v>2</v>
      </c>
      <c r="N127" s="33" t="s">
        <v>30</v>
      </c>
      <c r="O127" s="33" t="s">
        <v>88</v>
      </c>
    </row>
    <row r="128" spans="1:15" ht="14" customHeight="1" x14ac:dyDescent="0.45">
      <c r="A128" s="32">
        <v>45525</v>
      </c>
      <c r="B128" s="33" t="s">
        <v>85</v>
      </c>
      <c r="C128" s="33" t="s">
        <v>37</v>
      </c>
      <c r="D128" s="33">
        <v>1</v>
      </c>
      <c r="E128" s="33">
        <v>8</v>
      </c>
      <c r="F128" s="33">
        <v>1</v>
      </c>
      <c r="G128" s="32">
        <v>45553</v>
      </c>
      <c r="H128" s="33" t="s">
        <v>16</v>
      </c>
      <c r="I128" s="33">
        <v>1</v>
      </c>
      <c r="J128" s="33" t="s">
        <v>18</v>
      </c>
      <c r="K128" s="34">
        <f>IF(J128=[17]Legend!$A$66,[17]Legend!$B$66,(IF(J128=[17]Legend!$A$67,[17]Legend!$B$67,IF(J128=[17]Legend!$A$68, [17]Legend!$B$68, IF(J128=[17]Legend!$A$69, [17]Legend!$B$69, IF(J128=[17]Legend!$A$70, [17]Legend!$B$70, IF(J128=[17]Legend!$A$71, [17]Legend!$B$71, IF(J128=[17]Legend!$A$72, [17]Legend!$B$72, (IF(J128=[17]Legend!$A$73, [17]Legend!$B$73, IF(J128=[17]Legend!$A$74, [17]Legend!$B$74, "")))))))))))</f>
        <v>5</v>
      </c>
      <c r="L128" s="33">
        <v>5</v>
      </c>
      <c r="M128" s="33"/>
      <c r="N128" s="33"/>
      <c r="O128" s="33" t="s">
        <v>166</v>
      </c>
    </row>
    <row r="129" spans="1:15" ht="14" customHeight="1" x14ac:dyDescent="0.45">
      <c r="A129" s="32">
        <v>45525</v>
      </c>
      <c r="B129" s="33" t="s">
        <v>85</v>
      </c>
      <c r="C129" s="33" t="s">
        <v>37</v>
      </c>
      <c r="D129" s="33">
        <v>1</v>
      </c>
      <c r="E129" s="33">
        <v>8</v>
      </c>
      <c r="F129" s="33">
        <v>1</v>
      </c>
      <c r="G129" s="32">
        <v>45553</v>
      </c>
      <c r="H129" s="33" t="s">
        <v>16</v>
      </c>
      <c r="I129" s="33">
        <v>1</v>
      </c>
      <c r="J129" s="33" t="s">
        <v>60</v>
      </c>
      <c r="K129" s="34">
        <f>IF(J129=[17]Legend!$A$66,[17]Legend!$B$66,(IF(J129=[17]Legend!$A$67,[17]Legend!$B$67,IF(J129=[17]Legend!$A$68, [17]Legend!$B$68, IF(J129=[17]Legend!$A$69, [17]Legend!$B$69, IF(J129=[17]Legend!$A$70, [17]Legend!$B$70, IF(J129=[17]Legend!$A$71, [17]Legend!$B$71, IF(J129=[17]Legend!$A$72, [17]Legend!$B$72, (IF(J129=[17]Legend!$A$73, [17]Legend!$B$73, IF(J129=[17]Legend!$A$74, [17]Legend!$B$74, "")))))))))))</f>
        <v>25</v>
      </c>
      <c r="L129" s="33">
        <v>25</v>
      </c>
      <c r="M129" s="33"/>
      <c r="N129" s="33"/>
      <c r="O129" s="33" t="s">
        <v>166</v>
      </c>
    </row>
    <row r="130" spans="1:15" ht="14" customHeight="1" x14ac:dyDescent="0.45">
      <c r="A130" s="32">
        <v>45525</v>
      </c>
      <c r="B130" s="33" t="s">
        <v>85</v>
      </c>
      <c r="C130" s="33" t="s">
        <v>37</v>
      </c>
      <c r="D130" s="33">
        <v>1</v>
      </c>
      <c r="E130" s="33">
        <v>8</v>
      </c>
      <c r="F130" s="33">
        <v>1</v>
      </c>
      <c r="G130" s="32">
        <v>45553</v>
      </c>
      <c r="H130" s="33" t="s">
        <v>16</v>
      </c>
      <c r="I130" s="33">
        <v>1</v>
      </c>
      <c r="J130" s="33" t="s">
        <v>69</v>
      </c>
      <c r="K130" s="34">
        <f>IF(J130=[17]Legend!$A$66,[17]Legend!$B$66,(IF(J130=[17]Legend!$A$67,[17]Legend!$B$67,IF(J130=[17]Legend!$A$68, [17]Legend!$B$68, IF(J130=[17]Legend!$A$69, [17]Legend!$B$69, IF(J130=[17]Legend!$A$70, [17]Legend!$B$70, IF(J130=[17]Legend!$A$71, [17]Legend!$B$71, IF(J130=[17]Legend!$A$72, [17]Legend!$B$72, (IF(J130=[17]Legend!$A$73, [17]Legend!$B$73, IF(J130=[17]Legend!$A$74, [17]Legend!$B$74, "")))))))))))</f>
        <v>120</v>
      </c>
      <c r="L130" s="33">
        <v>119</v>
      </c>
      <c r="M130" s="33">
        <v>1</v>
      </c>
      <c r="N130" s="33" t="s">
        <v>21</v>
      </c>
      <c r="O130" s="33" t="s">
        <v>166</v>
      </c>
    </row>
    <row r="131" spans="1:15" ht="14" customHeight="1" x14ac:dyDescent="0.45">
      <c r="A131" s="32">
        <v>45525</v>
      </c>
      <c r="B131" s="33" t="s">
        <v>85</v>
      </c>
      <c r="C131" s="33" t="s">
        <v>16</v>
      </c>
      <c r="D131" s="33">
        <v>1</v>
      </c>
      <c r="E131" s="33">
        <v>8</v>
      </c>
      <c r="F131" s="33">
        <v>2</v>
      </c>
      <c r="G131" s="32">
        <v>45553</v>
      </c>
      <c r="H131" s="33" t="s">
        <v>16</v>
      </c>
      <c r="I131" s="33">
        <v>1</v>
      </c>
      <c r="J131" s="33" t="s">
        <v>18</v>
      </c>
      <c r="K131" s="34">
        <f>IF(J131=[17]Legend!$A$66,[17]Legend!$B$66,(IF(J131=[17]Legend!$A$67,[17]Legend!$B$67,IF(J131=[17]Legend!$A$68, [17]Legend!$B$68, IF(J131=[17]Legend!$A$69, [17]Legend!$B$69, IF(J131=[17]Legend!$A$70, [17]Legend!$B$70, IF(J131=[17]Legend!$A$71, [17]Legend!$B$71, IF(J131=[17]Legend!$A$72, [17]Legend!$B$72, (IF(J131=[17]Legend!$A$73, [17]Legend!$B$73, IF(J131=[17]Legend!$A$74, [17]Legend!$B$74, "")))))))))))</f>
        <v>5</v>
      </c>
      <c r="L131" s="33">
        <v>5</v>
      </c>
      <c r="M131" s="33"/>
      <c r="N131" s="33"/>
      <c r="O131" s="33" t="s">
        <v>167</v>
      </c>
    </row>
    <row r="132" spans="1:15" ht="14" customHeight="1" x14ac:dyDescent="0.45">
      <c r="A132" s="32">
        <v>45525</v>
      </c>
      <c r="B132" s="33" t="s">
        <v>85</v>
      </c>
      <c r="C132" s="33" t="s">
        <v>16</v>
      </c>
      <c r="D132" s="33">
        <v>1</v>
      </c>
      <c r="E132" s="33">
        <v>8</v>
      </c>
      <c r="F132" s="33">
        <v>2</v>
      </c>
      <c r="G132" s="32">
        <v>45553</v>
      </c>
      <c r="H132" s="33" t="s">
        <v>16</v>
      </c>
      <c r="I132" s="33">
        <v>1</v>
      </c>
      <c r="J132" s="33" t="s">
        <v>60</v>
      </c>
      <c r="K132" s="34">
        <f>IF(J132=[17]Legend!$A$66,[17]Legend!$B$66,(IF(J132=[17]Legend!$A$67,[17]Legend!$B$67,IF(J132=[17]Legend!$A$68, [17]Legend!$B$68, IF(J132=[17]Legend!$A$69, [17]Legend!$B$69, IF(J132=[17]Legend!$A$70, [17]Legend!$B$70, IF(J132=[17]Legend!$A$71, [17]Legend!$B$71, IF(J132=[17]Legend!$A$72, [17]Legend!$B$72, (IF(J132=[17]Legend!$A$73, [17]Legend!$B$73, IF(J132=[17]Legend!$A$74, [17]Legend!$B$74, "")))))))))))</f>
        <v>25</v>
      </c>
      <c r="L132" s="33">
        <v>25</v>
      </c>
      <c r="M132" s="33"/>
      <c r="N132" s="33"/>
      <c r="O132" s="33" t="s">
        <v>167</v>
      </c>
    </row>
    <row r="133" spans="1:15" ht="14" customHeight="1" x14ac:dyDescent="0.45">
      <c r="A133" s="32">
        <v>45525</v>
      </c>
      <c r="B133" s="33" t="s">
        <v>85</v>
      </c>
      <c r="C133" s="33" t="s">
        <v>16</v>
      </c>
      <c r="D133" s="33">
        <v>1</v>
      </c>
      <c r="E133" s="33">
        <v>8</v>
      </c>
      <c r="F133" s="33">
        <v>2</v>
      </c>
      <c r="G133" s="32">
        <v>45553</v>
      </c>
      <c r="H133" s="33" t="s">
        <v>16</v>
      </c>
      <c r="I133" s="33">
        <v>1</v>
      </c>
      <c r="J133" s="33" t="s">
        <v>69</v>
      </c>
      <c r="K133" s="34">
        <f>IF(J133=[17]Legend!$A$66,[17]Legend!$B$66,(IF(J133=[17]Legend!$A$67,[17]Legend!$B$67,IF(J133=[17]Legend!$A$68, [17]Legend!$B$68, IF(J133=[17]Legend!$A$69, [17]Legend!$B$69, IF(J133=[17]Legend!$A$70, [17]Legend!$B$70, IF(J133=[17]Legend!$A$71, [17]Legend!$B$71, IF(J133=[17]Legend!$A$72, [17]Legend!$B$72, (IF(J133=[17]Legend!$A$73, [17]Legend!$B$73, IF(J133=[17]Legend!$A$74, [17]Legend!$B$74, "")))))))))))</f>
        <v>120</v>
      </c>
      <c r="L133" s="33">
        <v>119</v>
      </c>
      <c r="M133" s="33"/>
      <c r="N133" s="33"/>
      <c r="O133" s="33" t="s">
        <v>167</v>
      </c>
    </row>
    <row r="134" spans="1:15" ht="14" customHeight="1" x14ac:dyDescent="0.45">
      <c r="A134" s="32">
        <v>45532</v>
      </c>
      <c r="B134" s="33" t="s">
        <v>85</v>
      </c>
      <c r="C134" s="33" t="s">
        <v>90</v>
      </c>
      <c r="D134" s="33">
        <v>2</v>
      </c>
      <c r="E134" s="33">
        <v>8</v>
      </c>
      <c r="F134" s="33">
        <v>1</v>
      </c>
      <c r="G134" s="32">
        <v>45566</v>
      </c>
      <c r="H134" s="33" t="s">
        <v>43</v>
      </c>
      <c r="I134" s="33">
        <v>1</v>
      </c>
      <c r="J134" s="33" t="s">
        <v>18</v>
      </c>
      <c r="K134" s="34">
        <f>IF(J134=[18]Legend!$A$66,[18]Legend!$B$66,(IF(J134=[18]Legend!$A$67,[18]Legend!$B$67,IF(J134=[18]Legend!$A$68, [18]Legend!$B$68, IF(J134=[18]Legend!$A$69, [18]Legend!$B$69, IF(J134=[18]Legend!$A$70, [18]Legend!$B$70, IF(J134=[18]Legend!$A$71, [18]Legend!$B$71, IF(J134=[18]Legend!$A$72, [18]Legend!$B$72, (IF(J134=[18]Legend!$A$73, [18]Legend!$B$73, IF(J134=[18]Legend!$A$74, [18]Legend!$B$74, "")))))))))))</f>
        <v>5</v>
      </c>
      <c r="L134" s="33">
        <v>5</v>
      </c>
      <c r="M134" s="33"/>
      <c r="N134" s="33"/>
      <c r="O134" s="33"/>
    </row>
    <row r="135" spans="1:15" ht="14" customHeight="1" x14ac:dyDescent="0.45">
      <c r="A135" s="32">
        <v>45532</v>
      </c>
      <c r="B135" s="33" t="s">
        <v>85</v>
      </c>
      <c r="C135" s="33" t="s">
        <v>90</v>
      </c>
      <c r="D135" s="33">
        <v>2</v>
      </c>
      <c r="E135" s="33">
        <v>8</v>
      </c>
      <c r="F135" s="33">
        <v>1</v>
      </c>
      <c r="G135" s="32">
        <v>45566</v>
      </c>
      <c r="H135" s="33" t="s">
        <v>43</v>
      </c>
      <c r="I135" s="33">
        <v>1</v>
      </c>
      <c r="J135" s="33" t="s">
        <v>60</v>
      </c>
      <c r="K135" s="34">
        <f>IF(J135=[18]Legend!$A$66,[18]Legend!$B$66,(IF(J135=[18]Legend!$A$67,[18]Legend!$B$67,IF(J135=[18]Legend!$A$68, [18]Legend!$B$68, IF(J135=[18]Legend!$A$69, [18]Legend!$B$69, IF(J135=[18]Legend!$A$70, [18]Legend!$B$70, IF(J135=[18]Legend!$A$71, [18]Legend!$B$71, IF(J135=[18]Legend!$A$72, [18]Legend!$B$72, (IF(J135=[18]Legend!$A$73, [18]Legend!$B$73, IF(J135=[18]Legend!$A$74, [18]Legend!$B$74, "")))))))))))</f>
        <v>25</v>
      </c>
      <c r="L135" s="33">
        <v>25</v>
      </c>
      <c r="M135" s="33"/>
      <c r="N135" s="33"/>
      <c r="O135" s="33"/>
    </row>
    <row r="136" spans="1:15" ht="14" customHeight="1" x14ac:dyDescent="0.45">
      <c r="A136" s="32">
        <v>45532</v>
      </c>
      <c r="B136" s="33" t="s">
        <v>85</v>
      </c>
      <c r="C136" s="33" t="s">
        <v>90</v>
      </c>
      <c r="D136" s="33">
        <v>2</v>
      </c>
      <c r="E136" s="33">
        <v>8</v>
      </c>
      <c r="F136" s="33">
        <v>1</v>
      </c>
      <c r="G136" s="32">
        <v>45566</v>
      </c>
      <c r="H136" s="33" t="s">
        <v>43</v>
      </c>
      <c r="I136" s="33">
        <v>1</v>
      </c>
      <c r="J136" s="33" t="s">
        <v>69</v>
      </c>
      <c r="K136" s="34">
        <f>IF(J136=[18]Legend!$A$66,[18]Legend!$B$66,(IF(J136=[18]Legend!$A$67,[18]Legend!$B$67,IF(J136=[18]Legend!$A$68, [18]Legend!$B$68, IF(J136=[18]Legend!$A$69, [18]Legend!$B$69, IF(J136=[18]Legend!$A$70, [18]Legend!$B$70, IF(J136=[18]Legend!$A$71, [18]Legend!$B$71, IF(J136=[18]Legend!$A$72, [18]Legend!$B$72, (IF(J136=[18]Legend!$A$73, [18]Legend!$B$73, IF(J136=[18]Legend!$A$74, [18]Legend!$B$74, "")))))))))))</f>
        <v>120</v>
      </c>
      <c r="L136" s="33">
        <v>119</v>
      </c>
      <c r="M136" s="33"/>
      <c r="N136" s="33"/>
      <c r="O136" s="33"/>
    </row>
    <row r="137" spans="1:15" ht="14" customHeight="1" x14ac:dyDescent="0.45">
      <c r="A137" s="32">
        <v>45532</v>
      </c>
      <c r="B137" s="33" t="s">
        <v>85</v>
      </c>
      <c r="C137" s="33" t="s">
        <v>90</v>
      </c>
      <c r="D137" s="33">
        <v>2</v>
      </c>
      <c r="E137" s="33">
        <v>8</v>
      </c>
      <c r="F137" s="33">
        <v>2</v>
      </c>
      <c r="G137" s="32">
        <v>45566</v>
      </c>
      <c r="H137" s="33" t="s">
        <v>43</v>
      </c>
      <c r="I137" s="33">
        <v>1</v>
      </c>
      <c r="J137" s="33" t="s">
        <v>18</v>
      </c>
      <c r="K137" s="34">
        <f>IF(J137=[18]Legend!$A$66,[18]Legend!$B$66,(IF(J137=[18]Legend!$A$67,[18]Legend!$B$67,IF(J137=[18]Legend!$A$68, [18]Legend!$B$68, IF(J137=[18]Legend!$A$69, [18]Legend!$B$69, IF(J137=[18]Legend!$A$70, [18]Legend!$B$70, IF(J137=[18]Legend!$A$71, [18]Legend!$B$71, IF(J137=[18]Legend!$A$72, [18]Legend!$B$72, (IF(J137=[18]Legend!$A$73, [18]Legend!$B$73, IF(J137=[18]Legend!$A$74, [18]Legend!$B$74, "")))))))))))</f>
        <v>5</v>
      </c>
      <c r="L137" s="33">
        <v>5</v>
      </c>
      <c r="M137" s="33"/>
      <c r="N137" s="33"/>
      <c r="O137" s="33"/>
    </row>
    <row r="138" spans="1:15" ht="14" customHeight="1" x14ac:dyDescent="0.45">
      <c r="A138" s="32">
        <v>45532</v>
      </c>
      <c r="B138" s="33" t="s">
        <v>85</v>
      </c>
      <c r="C138" s="33" t="s">
        <v>90</v>
      </c>
      <c r="D138" s="33">
        <v>2</v>
      </c>
      <c r="E138" s="33">
        <v>8</v>
      </c>
      <c r="F138" s="33">
        <v>2</v>
      </c>
      <c r="G138" s="32">
        <v>45566</v>
      </c>
      <c r="H138" s="33" t="s">
        <v>43</v>
      </c>
      <c r="I138" s="33">
        <v>1</v>
      </c>
      <c r="J138" s="33" t="s">
        <v>60</v>
      </c>
      <c r="K138" s="34">
        <f>IF(J138=[18]Legend!$A$66,[18]Legend!$B$66,(IF(J138=[18]Legend!$A$67,[18]Legend!$B$67,IF(J138=[18]Legend!$A$68, [18]Legend!$B$68, IF(J138=[18]Legend!$A$69, [18]Legend!$B$69, IF(J138=[18]Legend!$A$70, [18]Legend!$B$70, IF(J138=[18]Legend!$A$71, [18]Legend!$B$71, IF(J138=[18]Legend!$A$72, [18]Legend!$B$72, (IF(J138=[18]Legend!$A$73, [18]Legend!$B$73, IF(J138=[18]Legend!$A$74, [18]Legend!$B$74, "")))))))))))</f>
        <v>25</v>
      </c>
      <c r="L138" s="33">
        <v>25</v>
      </c>
      <c r="M138" s="33"/>
      <c r="N138" s="33"/>
      <c r="O138" s="33"/>
    </row>
    <row r="139" spans="1:15" ht="14" customHeight="1" x14ac:dyDescent="0.45">
      <c r="A139" s="32">
        <v>45532</v>
      </c>
      <c r="B139" s="33" t="s">
        <v>85</v>
      </c>
      <c r="C139" s="33" t="s">
        <v>90</v>
      </c>
      <c r="D139" s="33">
        <v>2</v>
      </c>
      <c r="E139" s="33">
        <v>8</v>
      </c>
      <c r="F139" s="33">
        <v>2</v>
      </c>
      <c r="G139" s="32">
        <v>45566</v>
      </c>
      <c r="H139" s="33" t="s">
        <v>43</v>
      </c>
      <c r="I139" s="33">
        <v>1</v>
      </c>
      <c r="J139" s="33" t="s">
        <v>69</v>
      </c>
      <c r="K139" s="34">
        <f>IF(J139=[18]Legend!$A$66,[18]Legend!$B$66,(IF(J139=[18]Legend!$A$67,[18]Legend!$B$67,IF(J139=[18]Legend!$A$68, [18]Legend!$B$68, IF(J139=[18]Legend!$A$69, [18]Legend!$B$69, IF(J139=[18]Legend!$A$70, [18]Legend!$B$70, IF(J139=[18]Legend!$A$71, [18]Legend!$B$71, IF(J139=[18]Legend!$A$72, [18]Legend!$B$72, (IF(J139=[18]Legend!$A$73, [18]Legend!$B$73, IF(J139=[18]Legend!$A$74, [18]Legend!$B$74, "")))))))))))</f>
        <v>120</v>
      </c>
      <c r="L139" s="33">
        <v>120</v>
      </c>
      <c r="M139" s="33"/>
      <c r="N139" s="33"/>
      <c r="O139" s="33" t="s">
        <v>169</v>
      </c>
    </row>
    <row r="140" spans="1:15" ht="14" customHeight="1" x14ac:dyDescent="0.45">
      <c r="A140" s="32">
        <v>9014</v>
      </c>
      <c r="B140" s="33" t="s">
        <v>85</v>
      </c>
      <c r="C140" s="33" t="s">
        <v>43</v>
      </c>
      <c r="D140" s="33">
        <v>3</v>
      </c>
      <c r="E140" s="33">
        <v>8</v>
      </c>
      <c r="F140" s="33">
        <v>2</v>
      </c>
      <c r="G140" s="32">
        <v>9036</v>
      </c>
      <c r="H140" s="33" t="s">
        <v>86</v>
      </c>
      <c r="I140" s="33">
        <v>1</v>
      </c>
      <c r="J140" s="33" t="s">
        <v>18</v>
      </c>
      <c r="K140" s="34">
        <f>IF(J140=[2]Legend!$A$66,[2]Legend!$B$66,(IF(J140=[2]Legend!$A$67,[2]Legend!$B$67,IF(J140=[2]Legend!$A$68, [2]Legend!$B$68, IF(J140=[2]Legend!$A$69, [2]Legend!$B$69, IF(J140=[2]Legend!$A$70, [2]Legend!$B$70, IF(J140=[2]Legend!$A$71, [2]Legend!$B$71, IF(J140=[2]Legend!$A$72, [2]Legend!$B$72, (IF(J140=[2]Legend!$A$73, [2]Legend!$B$73, IF(J140=[2]Legend!$A$74, [2]Legend!$B$74, "")))))))))))</f>
        <v>5</v>
      </c>
      <c r="L140" s="33">
        <v>5</v>
      </c>
      <c r="M140" s="33"/>
      <c r="N140" s="33"/>
      <c r="O140" s="33" t="s">
        <v>88</v>
      </c>
    </row>
    <row r="141" spans="1:15" ht="14" customHeight="1" x14ac:dyDescent="0.45">
      <c r="A141" s="32">
        <v>9014</v>
      </c>
      <c r="B141" s="33" t="s">
        <v>85</v>
      </c>
      <c r="C141" s="33" t="s">
        <v>43</v>
      </c>
      <c r="D141" s="33">
        <v>3</v>
      </c>
      <c r="E141" s="33">
        <v>8</v>
      </c>
      <c r="F141" s="33">
        <v>2</v>
      </c>
      <c r="G141" s="32">
        <v>9036</v>
      </c>
      <c r="H141" s="33" t="s">
        <v>86</v>
      </c>
      <c r="I141" s="33">
        <v>1</v>
      </c>
      <c r="J141" s="33" t="s">
        <v>60</v>
      </c>
      <c r="K141" s="34">
        <f>IF(J141=[2]Legend!$A$66,[2]Legend!$B$66,(IF(J141=[2]Legend!$A$67,[2]Legend!$B$67,IF(J141=[2]Legend!$A$68, [2]Legend!$B$68, IF(J141=[2]Legend!$A$69, [2]Legend!$B$69, IF(J141=[2]Legend!$A$70, [2]Legend!$B$70, IF(J141=[2]Legend!$A$71, [2]Legend!$B$71, IF(J141=[2]Legend!$A$72, [2]Legend!$B$72, (IF(J141=[2]Legend!$A$73, [2]Legend!$B$73, IF(J141=[2]Legend!$A$74, [2]Legend!$B$74, "")))))))))))</f>
        <v>25</v>
      </c>
      <c r="L141" s="33">
        <v>25</v>
      </c>
      <c r="M141" s="33"/>
      <c r="N141" s="33"/>
      <c r="O141" s="33" t="s">
        <v>88</v>
      </c>
    </row>
    <row r="142" spans="1:15" ht="14" customHeight="1" x14ac:dyDescent="0.45">
      <c r="A142" s="32">
        <v>9014</v>
      </c>
      <c r="B142" s="33" t="s">
        <v>85</v>
      </c>
      <c r="C142" s="33" t="s">
        <v>43</v>
      </c>
      <c r="D142" s="33">
        <v>3</v>
      </c>
      <c r="E142" s="33">
        <v>8</v>
      </c>
      <c r="F142" s="33">
        <v>2</v>
      </c>
      <c r="G142" s="32">
        <v>9036</v>
      </c>
      <c r="H142" s="33" t="s">
        <v>86</v>
      </c>
      <c r="I142" s="33">
        <v>1</v>
      </c>
      <c r="J142" s="33" t="s">
        <v>69</v>
      </c>
      <c r="K142" s="34">
        <f>IF(J142=[2]Legend!$A$66,[2]Legend!$B$66,(IF(J142=[2]Legend!$A$67,[2]Legend!$B$67,IF(J142=[2]Legend!$A$68, [2]Legend!$B$68, IF(J142=[2]Legend!$A$69, [2]Legend!$B$69, IF(J142=[2]Legend!$A$70, [2]Legend!$B$70, IF(J142=[2]Legend!$A$71, [2]Legend!$B$71, IF(J142=[2]Legend!$A$72, [2]Legend!$B$72, (IF(J142=[2]Legend!$A$73, [2]Legend!$B$73, IF(J142=[2]Legend!$A$74, [2]Legend!$B$74, "")))))))))))</f>
        <v>120</v>
      </c>
      <c r="L142" s="33">
        <v>120</v>
      </c>
      <c r="M142" s="33"/>
      <c r="N142" s="33"/>
      <c r="O142" s="33" t="s">
        <v>88</v>
      </c>
    </row>
    <row r="143" spans="1:15" ht="14" customHeight="1" x14ac:dyDescent="0.45">
      <c r="A143" s="32">
        <v>45539</v>
      </c>
      <c r="B143" s="33" t="s">
        <v>85</v>
      </c>
      <c r="C143" s="33" t="s">
        <v>90</v>
      </c>
      <c r="D143" s="40">
        <v>3</v>
      </c>
      <c r="E143" s="33">
        <v>8</v>
      </c>
      <c r="F143" s="33">
        <v>1</v>
      </c>
      <c r="G143" s="32">
        <v>45561</v>
      </c>
      <c r="H143" s="33" t="s">
        <v>108</v>
      </c>
      <c r="I143" s="33">
        <v>1</v>
      </c>
      <c r="J143" s="33" t="s">
        <v>60</v>
      </c>
      <c r="K143" s="34">
        <f>IF(J143=[7]Legend!$A$66,[7]Legend!$B$66,(IF(J143=[7]Legend!$A$67,[7]Legend!$B$67,IF(J143=[7]Legend!$A$68, [7]Legend!$B$68, IF(J143=[7]Legend!$A$69, [7]Legend!$B$69, IF(J143=[7]Legend!$A$70, [7]Legend!$B$70, IF(J143=[7]Legend!$A$71, [7]Legend!$B$71, IF(J143=[7]Legend!$A$72, [7]Legend!$B$72, (IF(J143=[7]Legend!$A$73, [7]Legend!$B$73, IF(J143=[7]Legend!$A$74, [7]Legend!$B$74, "")))))))))))</f>
        <v>25</v>
      </c>
      <c r="L143" s="33">
        <v>1</v>
      </c>
      <c r="M143" s="33">
        <v>1</v>
      </c>
      <c r="N143" s="33" t="s">
        <v>21</v>
      </c>
      <c r="O143" s="33" t="s">
        <v>119</v>
      </c>
    </row>
    <row r="144" spans="1:15" ht="14" customHeight="1" x14ac:dyDescent="0.45">
      <c r="A144" s="32">
        <v>45539</v>
      </c>
      <c r="B144" s="33" t="s">
        <v>85</v>
      </c>
      <c r="C144" s="33" t="s">
        <v>90</v>
      </c>
      <c r="D144" s="40">
        <v>3</v>
      </c>
      <c r="E144" s="33">
        <v>8</v>
      </c>
      <c r="F144" s="33">
        <v>1</v>
      </c>
      <c r="G144" s="32">
        <v>45561</v>
      </c>
      <c r="H144" s="33" t="s">
        <v>108</v>
      </c>
      <c r="I144" s="33">
        <v>1</v>
      </c>
      <c r="J144" s="33" t="s">
        <v>18</v>
      </c>
      <c r="K144" s="34">
        <f>IF(J144=[7]Legend!$A$66,[7]Legend!$B$66,(IF(J144=[7]Legend!$A$67,[7]Legend!$B$67,IF(J144=[7]Legend!$A$68, [7]Legend!$B$68, IF(J144=[7]Legend!$A$69, [7]Legend!$B$69, IF(J144=[7]Legend!$A$70, [7]Legend!$B$70, IF(J144=[7]Legend!$A$71, [7]Legend!$B$71, IF(J144=[7]Legend!$A$72, [7]Legend!$B$72, (IF(J144=[7]Legend!$A$73, [7]Legend!$B$73, IF(J144=[7]Legend!$A$74, [7]Legend!$B$74, "")))))))))))</f>
        <v>5</v>
      </c>
      <c r="L144" s="33">
        <v>0</v>
      </c>
      <c r="M144" s="33"/>
      <c r="N144" s="33"/>
      <c r="O144" s="33"/>
    </row>
    <row r="145" spans="1:15" ht="14" customHeight="1" x14ac:dyDescent="0.45">
      <c r="A145" s="32">
        <v>45539</v>
      </c>
      <c r="B145" s="33" t="s">
        <v>85</v>
      </c>
      <c r="C145" s="33" t="s">
        <v>90</v>
      </c>
      <c r="D145" s="40">
        <v>3</v>
      </c>
      <c r="E145" s="33">
        <v>8</v>
      </c>
      <c r="F145" s="33">
        <v>1</v>
      </c>
      <c r="G145" s="32">
        <v>45561</v>
      </c>
      <c r="H145" s="33" t="s">
        <v>108</v>
      </c>
      <c r="I145" s="33">
        <v>1</v>
      </c>
      <c r="J145" s="33" t="s">
        <v>69</v>
      </c>
      <c r="K145" s="34">
        <f>IF(J145=[7]Legend!$A$66,[7]Legend!$B$66,(IF(J145=[7]Legend!$A$67,[7]Legend!$B$67,IF(J145=[7]Legend!$A$68, [7]Legend!$B$68, IF(J145=[7]Legend!$A$69, [7]Legend!$B$69, IF(J145=[7]Legend!$A$70, [7]Legend!$B$70, IF(J145=[7]Legend!$A$71, [7]Legend!$B$71, IF(J145=[7]Legend!$A$72, [7]Legend!$B$72, (IF(J145=[7]Legend!$A$73, [7]Legend!$B$73, IF(J145=[7]Legend!$A$74, [7]Legend!$B$74, "")))))))))))</f>
        <v>120</v>
      </c>
      <c r="L145" s="33">
        <v>13</v>
      </c>
      <c r="M145" s="33"/>
      <c r="N145" s="33"/>
      <c r="O145" s="33"/>
    </row>
    <row r="146" spans="1:15" ht="14" customHeight="1" x14ac:dyDescent="0.45">
      <c r="A146" s="32">
        <v>45525</v>
      </c>
      <c r="B146" s="33" t="s">
        <v>85</v>
      </c>
      <c r="C146" s="33" t="s">
        <v>16</v>
      </c>
      <c r="D146" s="33">
        <v>1</v>
      </c>
      <c r="E146" s="33">
        <v>9</v>
      </c>
      <c r="F146" s="33">
        <v>1</v>
      </c>
      <c r="G146" s="32">
        <v>45553</v>
      </c>
      <c r="H146" s="33" t="s">
        <v>16</v>
      </c>
      <c r="I146" s="33">
        <v>1</v>
      </c>
      <c r="J146" s="33" t="s">
        <v>18</v>
      </c>
      <c r="K146" s="34">
        <f>IF(J146=[17]Legend!$A$66,[17]Legend!$B$66,(IF(J146=[17]Legend!$A$67,[17]Legend!$B$67,IF(J146=[17]Legend!$A$68, [17]Legend!$B$68, IF(J146=[17]Legend!$A$69, [17]Legend!$B$69, IF(J146=[17]Legend!$A$70, [17]Legend!$B$70, IF(J146=[17]Legend!$A$71, [17]Legend!$B$71, IF(J146=[17]Legend!$A$72, [17]Legend!$B$72, (IF(J146=[17]Legend!$A$73, [17]Legend!$B$73, IF(J146=[17]Legend!$A$74, [17]Legend!$B$74, "")))))))))))</f>
        <v>5</v>
      </c>
      <c r="L146" s="33">
        <v>5</v>
      </c>
      <c r="M146" s="33"/>
      <c r="N146" s="33"/>
      <c r="O146" s="33" t="s">
        <v>167</v>
      </c>
    </row>
    <row r="147" spans="1:15" ht="14" customHeight="1" x14ac:dyDescent="0.45">
      <c r="A147" s="32">
        <v>45525</v>
      </c>
      <c r="B147" s="33" t="s">
        <v>85</v>
      </c>
      <c r="C147" s="33" t="s">
        <v>16</v>
      </c>
      <c r="D147" s="33">
        <v>1</v>
      </c>
      <c r="E147" s="33">
        <v>9</v>
      </c>
      <c r="F147" s="33">
        <v>1</v>
      </c>
      <c r="G147" s="32">
        <v>45553</v>
      </c>
      <c r="H147" s="33" t="s">
        <v>16</v>
      </c>
      <c r="I147" s="33">
        <v>1</v>
      </c>
      <c r="J147" s="33" t="s">
        <v>60</v>
      </c>
      <c r="K147" s="34">
        <f>IF(J147=[17]Legend!$A$66,[17]Legend!$B$66,(IF(J147=[17]Legend!$A$67,[17]Legend!$B$67,IF(J147=[17]Legend!$A$68, [17]Legend!$B$68, IF(J147=[17]Legend!$A$69, [17]Legend!$B$69, IF(J147=[17]Legend!$A$70, [17]Legend!$B$70, IF(J147=[17]Legend!$A$71, [17]Legend!$B$71, IF(J147=[17]Legend!$A$72, [17]Legend!$B$72, (IF(J147=[17]Legend!$A$73, [17]Legend!$B$73, IF(J147=[17]Legend!$A$74, [17]Legend!$B$74, "")))))))))))</f>
        <v>25</v>
      </c>
      <c r="L147" s="33">
        <v>25</v>
      </c>
      <c r="M147" s="33"/>
      <c r="N147" s="33"/>
      <c r="O147" s="33" t="s">
        <v>167</v>
      </c>
    </row>
    <row r="148" spans="1:15" ht="14" customHeight="1" x14ac:dyDescent="0.45">
      <c r="A148" s="32">
        <v>45525</v>
      </c>
      <c r="B148" s="33" t="s">
        <v>85</v>
      </c>
      <c r="C148" s="33" t="s">
        <v>16</v>
      </c>
      <c r="D148" s="33">
        <v>1</v>
      </c>
      <c r="E148" s="33">
        <v>9</v>
      </c>
      <c r="F148" s="33">
        <v>1</v>
      </c>
      <c r="G148" s="32">
        <v>45553</v>
      </c>
      <c r="H148" s="33" t="s">
        <v>16</v>
      </c>
      <c r="I148" s="33">
        <v>1</v>
      </c>
      <c r="J148" s="33" t="s">
        <v>69</v>
      </c>
      <c r="K148" s="34">
        <f>IF(J148=[17]Legend!$A$66,[17]Legend!$B$66,(IF(J148=[17]Legend!$A$67,[17]Legend!$B$67,IF(J148=[17]Legend!$A$68, [17]Legend!$B$68, IF(J148=[17]Legend!$A$69, [17]Legend!$B$69, IF(J148=[17]Legend!$A$70, [17]Legend!$B$70, IF(J148=[17]Legend!$A$71, [17]Legend!$B$71, IF(J148=[17]Legend!$A$72, [17]Legend!$B$72, (IF(J148=[17]Legend!$A$73, [17]Legend!$B$73, IF(J148=[17]Legend!$A$74, [17]Legend!$B$74, "")))))))))))</f>
        <v>120</v>
      </c>
      <c r="L148" s="33">
        <v>116</v>
      </c>
      <c r="M148" s="33">
        <v>3</v>
      </c>
      <c r="N148" s="33" t="s">
        <v>30</v>
      </c>
      <c r="O148" s="33" t="s">
        <v>167</v>
      </c>
    </row>
    <row r="149" spans="1:15" ht="14" customHeight="1" x14ac:dyDescent="0.45">
      <c r="A149" s="32">
        <v>45525</v>
      </c>
      <c r="B149" s="33" t="s">
        <v>85</v>
      </c>
      <c r="C149" s="33" t="s">
        <v>16</v>
      </c>
      <c r="D149" s="33">
        <v>1</v>
      </c>
      <c r="E149" s="33">
        <v>9</v>
      </c>
      <c r="F149" s="33">
        <v>2</v>
      </c>
      <c r="G149" s="32">
        <v>45553</v>
      </c>
      <c r="H149" s="33" t="s">
        <v>16</v>
      </c>
      <c r="I149" s="33">
        <v>1</v>
      </c>
      <c r="J149" s="33" t="s">
        <v>18</v>
      </c>
      <c r="K149" s="34">
        <f>IF(J149=[17]Legend!$A$66,[17]Legend!$B$66,(IF(J149=[17]Legend!$A$67,[17]Legend!$B$67,IF(J149=[17]Legend!$A$68, [17]Legend!$B$68, IF(J149=[17]Legend!$A$69, [17]Legend!$B$69, IF(J149=[17]Legend!$A$70, [17]Legend!$B$70, IF(J149=[17]Legend!$A$71, [17]Legend!$B$71, IF(J149=[17]Legend!$A$72, [17]Legend!$B$72, (IF(J149=[17]Legend!$A$73, [17]Legend!$B$73, IF(J149=[17]Legend!$A$74, [17]Legend!$B$74, "")))))))))))</f>
        <v>5</v>
      </c>
      <c r="L149" s="33">
        <v>5</v>
      </c>
      <c r="M149" s="33"/>
      <c r="N149" s="33"/>
      <c r="O149" s="33" t="s">
        <v>167</v>
      </c>
    </row>
    <row r="150" spans="1:15" ht="14" customHeight="1" x14ac:dyDescent="0.45">
      <c r="A150" s="32">
        <v>45525</v>
      </c>
      <c r="B150" s="33" t="s">
        <v>85</v>
      </c>
      <c r="C150" s="33" t="s">
        <v>16</v>
      </c>
      <c r="D150" s="33">
        <v>1</v>
      </c>
      <c r="E150" s="33">
        <v>9</v>
      </c>
      <c r="F150" s="33">
        <v>2</v>
      </c>
      <c r="G150" s="32">
        <v>45553</v>
      </c>
      <c r="H150" s="33" t="s">
        <v>16</v>
      </c>
      <c r="I150" s="33">
        <v>1</v>
      </c>
      <c r="J150" s="33" t="s">
        <v>60</v>
      </c>
      <c r="K150" s="34">
        <f>IF(J150=[17]Legend!$A$66,[17]Legend!$B$66,(IF(J150=[17]Legend!$A$67,[17]Legend!$B$67,IF(J150=[17]Legend!$A$68, [17]Legend!$B$68, IF(J150=[17]Legend!$A$69, [17]Legend!$B$69, IF(J150=[17]Legend!$A$70, [17]Legend!$B$70, IF(J150=[17]Legend!$A$71, [17]Legend!$B$71, IF(J150=[17]Legend!$A$72, [17]Legend!$B$72, (IF(J150=[17]Legend!$A$73, [17]Legend!$B$73, IF(J150=[17]Legend!$A$74, [17]Legend!$B$74, "")))))))))))</f>
        <v>25</v>
      </c>
      <c r="L150" s="33">
        <v>25</v>
      </c>
      <c r="M150" s="33"/>
      <c r="N150" s="33"/>
      <c r="O150" s="33" t="s">
        <v>167</v>
      </c>
    </row>
    <row r="151" spans="1:15" ht="14" customHeight="1" x14ac:dyDescent="0.45">
      <c r="A151" s="32">
        <v>45525</v>
      </c>
      <c r="B151" s="33" t="s">
        <v>85</v>
      </c>
      <c r="C151" s="33" t="s">
        <v>16</v>
      </c>
      <c r="D151" s="33">
        <v>1</v>
      </c>
      <c r="E151" s="33">
        <v>9</v>
      </c>
      <c r="F151" s="33">
        <v>2</v>
      </c>
      <c r="G151" s="32">
        <v>45553</v>
      </c>
      <c r="H151" s="33" t="s">
        <v>16</v>
      </c>
      <c r="I151" s="33">
        <v>1</v>
      </c>
      <c r="J151" s="33" t="s">
        <v>69</v>
      </c>
      <c r="K151" s="34">
        <f>IF(J151=[17]Legend!$A$66,[17]Legend!$B$66,(IF(J151=[17]Legend!$A$67,[17]Legend!$B$67,IF(J151=[17]Legend!$A$68, [17]Legend!$B$68, IF(J151=[17]Legend!$A$69, [17]Legend!$B$69, IF(J151=[17]Legend!$A$70, [17]Legend!$B$70, IF(J151=[17]Legend!$A$71, [17]Legend!$B$71, IF(J151=[17]Legend!$A$72, [17]Legend!$B$72, (IF(J151=[17]Legend!$A$73, [17]Legend!$B$73, IF(J151=[17]Legend!$A$74, [17]Legend!$B$74, "")))))))))))</f>
        <v>120</v>
      </c>
      <c r="L151" s="33">
        <v>120</v>
      </c>
      <c r="M151" s="33"/>
      <c r="N151" s="33"/>
      <c r="O151" s="33" t="s">
        <v>167</v>
      </c>
    </row>
    <row r="152" spans="1:15" ht="14" customHeight="1" x14ac:dyDescent="0.45">
      <c r="A152" s="32">
        <v>45532</v>
      </c>
      <c r="B152" s="33" t="s">
        <v>85</v>
      </c>
      <c r="C152" s="33" t="s">
        <v>90</v>
      </c>
      <c r="D152" s="33">
        <v>2</v>
      </c>
      <c r="E152" s="33">
        <v>9</v>
      </c>
      <c r="F152" s="33">
        <v>1</v>
      </c>
      <c r="G152" s="32">
        <v>45566</v>
      </c>
      <c r="H152" s="33" t="s">
        <v>43</v>
      </c>
      <c r="I152" s="33">
        <v>1</v>
      </c>
      <c r="J152" s="33" t="s">
        <v>18</v>
      </c>
      <c r="K152" s="34">
        <f>IF(J152=[18]Legend!$A$66,[18]Legend!$B$66,(IF(J152=[18]Legend!$A$67,[18]Legend!$B$67,IF(J152=[18]Legend!$A$68, [18]Legend!$B$68, IF(J152=[18]Legend!$A$69, [18]Legend!$B$69, IF(J152=[18]Legend!$A$70, [18]Legend!$B$70, IF(J152=[18]Legend!$A$71, [18]Legend!$B$71, IF(J152=[18]Legend!$A$72, [18]Legend!$B$72, (IF(J152=[18]Legend!$A$73, [18]Legend!$B$73, IF(J152=[18]Legend!$A$74, [18]Legend!$B$74, "")))))))))))</f>
        <v>5</v>
      </c>
      <c r="L152" s="33">
        <v>5</v>
      </c>
      <c r="M152" s="33"/>
      <c r="N152" s="33"/>
      <c r="O152" s="33"/>
    </row>
    <row r="153" spans="1:15" ht="14" customHeight="1" x14ac:dyDescent="0.45">
      <c r="A153" s="32">
        <v>45532</v>
      </c>
      <c r="B153" s="33" t="s">
        <v>85</v>
      </c>
      <c r="C153" s="33" t="s">
        <v>90</v>
      </c>
      <c r="D153" s="33">
        <v>2</v>
      </c>
      <c r="E153" s="33">
        <v>9</v>
      </c>
      <c r="F153" s="33">
        <v>1</v>
      </c>
      <c r="G153" s="32">
        <v>45566</v>
      </c>
      <c r="H153" s="33" t="s">
        <v>43</v>
      </c>
      <c r="I153" s="33">
        <v>1</v>
      </c>
      <c r="J153" s="33" t="s">
        <v>60</v>
      </c>
      <c r="K153" s="34">
        <f>IF(J153=[18]Legend!$A$66,[18]Legend!$B$66,(IF(J153=[18]Legend!$A$67,[18]Legend!$B$67,IF(J153=[18]Legend!$A$68, [18]Legend!$B$68, IF(J153=[18]Legend!$A$69, [18]Legend!$B$69, IF(J153=[18]Legend!$A$70, [18]Legend!$B$70, IF(J153=[18]Legend!$A$71, [18]Legend!$B$71, IF(J153=[18]Legend!$A$72, [18]Legend!$B$72, (IF(J153=[18]Legend!$A$73, [18]Legend!$B$73, IF(J153=[18]Legend!$A$74, [18]Legend!$B$74, "")))))))))))</f>
        <v>25</v>
      </c>
      <c r="L153" s="33">
        <v>25</v>
      </c>
      <c r="M153" s="33"/>
      <c r="N153" s="33"/>
      <c r="O153" s="33"/>
    </row>
    <row r="154" spans="1:15" ht="14" customHeight="1" x14ac:dyDescent="0.45">
      <c r="A154" s="32">
        <v>45532</v>
      </c>
      <c r="B154" s="33" t="s">
        <v>85</v>
      </c>
      <c r="C154" s="33" t="s">
        <v>90</v>
      </c>
      <c r="D154" s="33">
        <v>2</v>
      </c>
      <c r="E154" s="33">
        <v>9</v>
      </c>
      <c r="F154" s="33">
        <v>1</v>
      </c>
      <c r="G154" s="32">
        <v>45566</v>
      </c>
      <c r="H154" s="33" t="s">
        <v>43</v>
      </c>
      <c r="I154" s="33">
        <v>1</v>
      </c>
      <c r="J154" s="33" t="s">
        <v>69</v>
      </c>
      <c r="K154" s="34">
        <f>IF(J154=[18]Legend!$A$66,[18]Legend!$B$66,(IF(J154=[18]Legend!$A$67,[18]Legend!$B$67,IF(J154=[18]Legend!$A$68, [18]Legend!$B$68, IF(J154=[18]Legend!$A$69, [18]Legend!$B$69, IF(J154=[18]Legend!$A$70, [18]Legend!$B$70, IF(J154=[18]Legend!$A$71, [18]Legend!$B$71, IF(J154=[18]Legend!$A$72, [18]Legend!$B$72, (IF(J154=[18]Legend!$A$73, [18]Legend!$B$73, IF(J154=[18]Legend!$A$74, [18]Legend!$B$74, "")))))))))))</f>
        <v>120</v>
      </c>
      <c r="L154" s="33">
        <v>120</v>
      </c>
      <c r="M154" s="33"/>
      <c r="N154" s="33"/>
      <c r="O154" s="33"/>
    </row>
    <row r="155" spans="1:15" ht="14" customHeight="1" x14ac:dyDescent="0.45">
      <c r="A155" s="32">
        <v>45532</v>
      </c>
      <c r="B155" s="33" t="s">
        <v>85</v>
      </c>
      <c r="C155" s="33" t="s">
        <v>90</v>
      </c>
      <c r="D155" s="33">
        <v>2</v>
      </c>
      <c r="E155" s="33">
        <v>9</v>
      </c>
      <c r="F155" s="33">
        <v>2</v>
      </c>
      <c r="G155" s="32">
        <v>45566</v>
      </c>
      <c r="H155" s="33" t="s">
        <v>43</v>
      </c>
      <c r="I155" s="33">
        <v>1</v>
      </c>
      <c r="J155" s="33" t="s">
        <v>18</v>
      </c>
      <c r="K155" s="34">
        <f>IF(J155=[18]Legend!$A$66,[18]Legend!$B$66,(IF(J155=[18]Legend!$A$67,[18]Legend!$B$67,IF(J155=[18]Legend!$A$68, [18]Legend!$B$68, IF(J155=[18]Legend!$A$69, [18]Legend!$B$69, IF(J155=[18]Legend!$A$70, [18]Legend!$B$70, IF(J155=[18]Legend!$A$71, [18]Legend!$B$71, IF(J155=[18]Legend!$A$72, [18]Legend!$B$72, (IF(J155=[18]Legend!$A$73, [18]Legend!$B$73, IF(J155=[18]Legend!$A$74, [18]Legend!$B$74, "")))))))))))</f>
        <v>5</v>
      </c>
      <c r="L155" s="33">
        <v>5</v>
      </c>
      <c r="M155" s="33"/>
      <c r="N155" s="33"/>
      <c r="O155" s="33"/>
    </row>
    <row r="156" spans="1:15" ht="14" customHeight="1" x14ac:dyDescent="0.45">
      <c r="A156" s="32">
        <v>45532</v>
      </c>
      <c r="B156" s="33" t="s">
        <v>85</v>
      </c>
      <c r="C156" s="33" t="s">
        <v>90</v>
      </c>
      <c r="D156" s="33">
        <v>2</v>
      </c>
      <c r="E156" s="33">
        <v>9</v>
      </c>
      <c r="F156" s="33">
        <v>2</v>
      </c>
      <c r="G156" s="32">
        <v>45566</v>
      </c>
      <c r="H156" s="33" t="s">
        <v>43</v>
      </c>
      <c r="I156" s="33">
        <v>1</v>
      </c>
      <c r="J156" s="33" t="s">
        <v>60</v>
      </c>
      <c r="K156" s="34">
        <f>IF(J156=[18]Legend!$A$66,[18]Legend!$B$66,(IF(J156=[18]Legend!$A$67,[18]Legend!$B$67,IF(J156=[18]Legend!$A$68, [18]Legend!$B$68, IF(J156=[18]Legend!$A$69, [18]Legend!$B$69, IF(J156=[18]Legend!$A$70, [18]Legend!$B$70, IF(J156=[18]Legend!$A$71, [18]Legend!$B$71, IF(J156=[18]Legend!$A$72, [18]Legend!$B$72, (IF(J156=[18]Legend!$A$73, [18]Legend!$B$73, IF(J156=[18]Legend!$A$74, [18]Legend!$B$74, "")))))))))))</f>
        <v>25</v>
      </c>
      <c r="L156" s="33">
        <v>25</v>
      </c>
      <c r="M156" s="33"/>
      <c r="N156" s="33"/>
      <c r="O156" s="33"/>
    </row>
    <row r="157" spans="1:15" ht="14" customHeight="1" x14ac:dyDescent="0.45">
      <c r="A157" s="32">
        <v>45532</v>
      </c>
      <c r="B157" s="33" t="s">
        <v>85</v>
      </c>
      <c r="C157" s="33" t="s">
        <v>90</v>
      </c>
      <c r="D157" s="33">
        <v>2</v>
      </c>
      <c r="E157" s="33">
        <v>9</v>
      </c>
      <c r="F157" s="33">
        <v>2</v>
      </c>
      <c r="G157" s="32">
        <v>45566</v>
      </c>
      <c r="H157" s="33" t="s">
        <v>43</v>
      </c>
      <c r="I157" s="33">
        <v>1</v>
      </c>
      <c r="J157" s="33" t="s">
        <v>69</v>
      </c>
      <c r="K157" s="34">
        <f>IF(J157=[18]Legend!$A$66,[18]Legend!$B$66,(IF(J157=[18]Legend!$A$67,[18]Legend!$B$67,IF(J157=[18]Legend!$A$68, [18]Legend!$B$68, IF(J157=[18]Legend!$A$69, [18]Legend!$B$69, IF(J157=[18]Legend!$A$70, [18]Legend!$B$70, IF(J157=[18]Legend!$A$71, [18]Legend!$B$71, IF(J157=[18]Legend!$A$72, [18]Legend!$B$72, (IF(J157=[18]Legend!$A$73, [18]Legend!$B$73, IF(J157=[18]Legend!$A$74, [18]Legend!$B$74, "")))))))))))</f>
        <v>120</v>
      </c>
      <c r="L157" s="33">
        <v>120</v>
      </c>
      <c r="M157" s="33"/>
      <c r="N157" s="33"/>
      <c r="O157" s="33" t="s">
        <v>170</v>
      </c>
    </row>
    <row r="158" spans="1:15" ht="14" customHeight="1" x14ac:dyDescent="0.45">
      <c r="A158" s="32">
        <v>9014</v>
      </c>
      <c r="B158" s="33" t="s">
        <v>85</v>
      </c>
      <c r="C158" s="33" t="s">
        <v>43</v>
      </c>
      <c r="D158" s="33">
        <v>3</v>
      </c>
      <c r="E158" s="33">
        <v>9</v>
      </c>
      <c r="F158" s="33">
        <v>2</v>
      </c>
      <c r="G158" s="32">
        <v>9036</v>
      </c>
      <c r="H158" s="33" t="s">
        <v>86</v>
      </c>
      <c r="I158" s="33">
        <v>1</v>
      </c>
      <c r="J158" s="33" t="s">
        <v>18</v>
      </c>
      <c r="K158" s="34">
        <f>IF(J158=[2]Legend!$A$66,[2]Legend!$B$66,(IF(J158=[2]Legend!$A$67,[2]Legend!$B$67,IF(J158=[2]Legend!$A$68, [2]Legend!$B$68, IF(J158=[2]Legend!$A$69, [2]Legend!$B$69, IF(J158=[2]Legend!$A$70, [2]Legend!$B$70, IF(J158=[2]Legend!$A$71, [2]Legend!$B$71, IF(J158=[2]Legend!$A$72, [2]Legend!$B$72, (IF(J158=[2]Legend!$A$73, [2]Legend!$B$73, IF(J158=[2]Legend!$A$74, [2]Legend!$B$74, "")))))))))))</f>
        <v>5</v>
      </c>
      <c r="L158" s="33">
        <v>5</v>
      </c>
      <c r="M158" s="33"/>
      <c r="N158" s="33"/>
      <c r="O158" s="33"/>
    </row>
    <row r="159" spans="1:15" ht="14" customHeight="1" x14ac:dyDescent="0.45">
      <c r="A159" s="32">
        <v>9014</v>
      </c>
      <c r="B159" s="33" t="s">
        <v>85</v>
      </c>
      <c r="C159" s="33" t="s">
        <v>43</v>
      </c>
      <c r="D159" s="33">
        <v>3</v>
      </c>
      <c r="E159" s="33">
        <v>9</v>
      </c>
      <c r="F159" s="33">
        <v>2</v>
      </c>
      <c r="G159" s="32">
        <v>9036</v>
      </c>
      <c r="H159" s="33" t="s">
        <v>86</v>
      </c>
      <c r="I159" s="33">
        <v>1</v>
      </c>
      <c r="J159" s="33" t="s">
        <v>60</v>
      </c>
      <c r="K159" s="34">
        <f>IF(J159=[2]Legend!$A$66,[2]Legend!$B$66,(IF(J159=[2]Legend!$A$67,[2]Legend!$B$67,IF(J159=[2]Legend!$A$68, [2]Legend!$B$68, IF(J159=[2]Legend!$A$69, [2]Legend!$B$69, IF(J159=[2]Legend!$A$70, [2]Legend!$B$70, IF(J159=[2]Legend!$A$71, [2]Legend!$B$71, IF(J159=[2]Legend!$A$72, [2]Legend!$B$72, (IF(J159=[2]Legend!$A$73, [2]Legend!$B$73, IF(J159=[2]Legend!$A$74, [2]Legend!$B$74, "")))))))))))</f>
        <v>25</v>
      </c>
      <c r="L159" s="33">
        <v>24</v>
      </c>
      <c r="M159" s="33"/>
      <c r="N159" s="33"/>
      <c r="O159" s="33" t="s">
        <v>88</v>
      </c>
    </row>
    <row r="160" spans="1:15" ht="14" customHeight="1" x14ac:dyDescent="0.45">
      <c r="A160" s="32">
        <v>9014</v>
      </c>
      <c r="B160" s="33" t="s">
        <v>85</v>
      </c>
      <c r="C160" s="33" t="s">
        <v>43</v>
      </c>
      <c r="D160" s="33">
        <v>3</v>
      </c>
      <c r="E160" s="33">
        <v>9</v>
      </c>
      <c r="F160" s="33">
        <v>2</v>
      </c>
      <c r="G160" s="32">
        <v>9036</v>
      </c>
      <c r="H160" s="33" t="s">
        <v>86</v>
      </c>
      <c r="I160" s="33">
        <v>1</v>
      </c>
      <c r="J160" s="33" t="s">
        <v>69</v>
      </c>
      <c r="K160" s="34">
        <f>IF(J160=[2]Legend!$A$66,[2]Legend!$B$66,(IF(J160=[2]Legend!$A$67,[2]Legend!$B$67,IF(J160=[2]Legend!$A$68, [2]Legend!$B$68, IF(J160=[2]Legend!$A$69, [2]Legend!$B$69, IF(J160=[2]Legend!$A$70, [2]Legend!$B$70, IF(J160=[2]Legend!$A$71, [2]Legend!$B$71, IF(J160=[2]Legend!$A$72, [2]Legend!$B$72, (IF(J160=[2]Legend!$A$73, [2]Legend!$B$73, IF(J160=[2]Legend!$A$74, [2]Legend!$B$74, "")))))))))))</f>
        <v>120</v>
      </c>
      <c r="L160" s="33">
        <v>120</v>
      </c>
      <c r="M160" s="33">
        <v>2</v>
      </c>
      <c r="N160" s="33" t="s">
        <v>30</v>
      </c>
      <c r="O160" s="33" t="s">
        <v>88</v>
      </c>
    </row>
    <row r="161" spans="1:15" ht="14" customHeight="1" x14ac:dyDescent="0.45">
      <c r="A161" s="32">
        <v>45539</v>
      </c>
      <c r="B161" s="33" t="s">
        <v>85</v>
      </c>
      <c r="C161" s="33" t="s">
        <v>16</v>
      </c>
      <c r="D161" s="40">
        <v>3</v>
      </c>
      <c r="E161" s="33">
        <v>9</v>
      </c>
      <c r="F161" s="33">
        <v>1</v>
      </c>
      <c r="G161" s="32">
        <v>45561</v>
      </c>
      <c r="H161" s="33" t="s">
        <v>108</v>
      </c>
      <c r="I161" s="33">
        <v>1</v>
      </c>
      <c r="J161" s="33" t="s">
        <v>60</v>
      </c>
      <c r="K161" s="34">
        <f>IF(J161=[7]Legend!$A$66,[7]Legend!$B$66,(IF(J161=[7]Legend!$A$67,[7]Legend!$B$67,IF(J161=[7]Legend!$A$68, [7]Legend!$B$68, IF(J161=[7]Legend!$A$69, [7]Legend!$B$69, IF(J161=[7]Legend!$A$70, [7]Legend!$B$70, IF(J161=[7]Legend!$A$71, [7]Legend!$B$71, IF(J161=[7]Legend!$A$72, [7]Legend!$B$72, (IF(J161=[7]Legend!$A$73, [7]Legend!$B$73, IF(J161=[7]Legend!$A$74, [7]Legend!$B$74, "")))))))))))</f>
        <v>25</v>
      </c>
      <c r="L161" s="33">
        <v>2</v>
      </c>
      <c r="M161" s="33"/>
      <c r="N161" s="33"/>
      <c r="O161" s="33" t="s">
        <v>119</v>
      </c>
    </row>
    <row r="162" spans="1:15" ht="14" customHeight="1" x14ac:dyDescent="0.45">
      <c r="A162" s="32">
        <v>45539</v>
      </c>
      <c r="B162" s="33" t="s">
        <v>85</v>
      </c>
      <c r="C162" s="33" t="s">
        <v>16</v>
      </c>
      <c r="D162" s="40">
        <v>3</v>
      </c>
      <c r="E162" s="33">
        <v>9</v>
      </c>
      <c r="F162" s="33">
        <v>1</v>
      </c>
      <c r="G162" s="32">
        <v>45561</v>
      </c>
      <c r="H162" s="33" t="s">
        <v>108</v>
      </c>
      <c r="I162" s="33">
        <v>1</v>
      </c>
      <c r="J162" s="33" t="s">
        <v>18</v>
      </c>
      <c r="K162" s="34">
        <f>IF(J162=[7]Legend!$A$66,[7]Legend!$B$66,(IF(J162=[7]Legend!$A$67,[7]Legend!$B$67,IF(J162=[7]Legend!$A$68, [7]Legend!$B$68, IF(J162=[7]Legend!$A$69, [7]Legend!$B$69, IF(J162=[7]Legend!$A$70, [7]Legend!$B$70, IF(J162=[7]Legend!$A$71, [7]Legend!$B$71, IF(J162=[7]Legend!$A$72, [7]Legend!$B$72, (IF(J162=[7]Legend!$A$73, [7]Legend!$B$73, IF(J162=[7]Legend!$A$74, [7]Legend!$B$74, "")))))))))))</f>
        <v>5</v>
      </c>
      <c r="L162" s="33">
        <v>0</v>
      </c>
      <c r="M162" s="33"/>
      <c r="N162" s="33"/>
      <c r="O162" s="33"/>
    </row>
    <row r="163" spans="1:15" ht="14" customHeight="1" x14ac:dyDescent="0.45">
      <c r="A163" s="32">
        <v>45539</v>
      </c>
      <c r="B163" s="33" t="s">
        <v>85</v>
      </c>
      <c r="C163" s="33" t="s">
        <v>16</v>
      </c>
      <c r="D163" s="40">
        <v>3</v>
      </c>
      <c r="E163" s="33">
        <v>9</v>
      </c>
      <c r="F163" s="33">
        <v>1</v>
      </c>
      <c r="G163" s="32">
        <v>45561</v>
      </c>
      <c r="H163" s="33" t="s">
        <v>108</v>
      </c>
      <c r="I163" s="33">
        <v>1</v>
      </c>
      <c r="J163" s="33" t="s">
        <v>69</v>
      </c>
      <c r="K163" s="34">
        <f>IF(J163=[7]Legend!$A$66,[7]Legend!$B$66,(IF(J163=[7]Legend!$A$67,[7]Legend!$B$67,IF(J163=[7]Legend!$A$68, [7]Legend!$B$68, IF(J163=[7]Legend!$A$69, [7]Legend!$B$69, IF(J163=[7]Legend!$A$70, [7]Legend!$B$70, IF(J163=[7]Legend!$A$71, [7]Legend!$B$71, IF(J163=[7]Legend!$A$72, [7]Legend!$B$72, (IF(J163=[7]Legend!$A$73, [7]Legend!$B$73, IF(J163=[7]Legend!$A$74, [7]Legend!$B$74, "")))))))))))</f>
        <v>120</v>
      </c>
      <c r="L163" s="33">
        <v>8</v>
      </c>
      <c r="M163" s="33"/>
      <c r="N163" s="33"/>
      <c r="O163" s="33"/>
    </row>
    <row r="164" spans="1:15" ht="14" customHeight="1" x14ac:dyDescent="0.45">
      <c r="A164" s="32">
        <v>45525</v>
      </c>
      <c r="B164" s="33" t="s">
        <v>85</v>
      </c>
      <c r="C164" s="33" t="s">
        <v>37</v>
      </c>
      <c r="D164" s="33">
        <v>1</v>
      </c>
      <c r="E164" s="33">
        <v>10</v>
      </c>
      <c r="F164" s="33">
        <v>2</v>
      </c>
      <c r="G164" s="32">
        <v>45553</v>
      </c>
      <c r="H164" s="33" t="s">
        <v>16</v>
      </c>
      <c r="I164" s="33">
        <v>1</v>
      </c>
      <c r="J164" s="33" t="s">
        <v>18</v>
      </c>
      <c r="K164" s="34">
        <f>IF(J164=[17]Legend!$A$66,[17]Legend!$B$66,(IF(J164=[17]Legend!$A$67,[17]Legend!$B$67,IF(J164=[17]Legend!$A$68, [17]Legend!$B$68, IF(J164=[17]Legend!$A$69, [17]Legend!$B$69, IF(J164=[17]Legend!$A$70, [17]Legend!$B$70, IF(J164=[17]Legend!$A$71, [17]Legend!$B$71, IF(J164=[17]Legend!$A$72, [17]Legend!$B$72, (IF(J164=[17]Legend!$A$73, [17]Legend!$B$73, IF(J164=[17]Legend!$A$74, [17]Legend!$B$74, "")))))))))))</f>
        <v>5</v>
      </c>
      <c r="L164" s="33">
        <v>5</v>
      </c>
      <c r="M164" s="33"/>
      <c r="N164" s="33"/>
      <c r="O164" s="33"/>
    </row>
    <row r="165" spans="1:15" ht="14" customHeight="1" x14ac:dyDescent="0.45">
      <c r="A165" s="32">
        <v>45525</v>
      </c>
      <c r="B165" s="33" t="s">
        <v>85</v>
      </c>
      <c r="C165" s="33" t="s">
        <v>37</v>
      </c>
      <c r="D165" s="33">
        <v>1</v>
      </c>
      <c r="E165" s="33">
        <v>10</v>
      </c>
      <c r="F165" s="33">
        <v>2</v>
      </c>
      <c r="G165" s="32">
        <v>45553</v>
      </c>
      <c r="H165" s="33" t="s">
        <v>16</v>
      </c>
      <c r="I165" s="33">
        <v>1</v>
      </c>
      <c r="J165" s="33" t="s">
        <v>60</v>
      </c>
      <c r="K165" s="34">
        <f>IF(J165=[17]Legend!$A$66,[17]Legend!$B$66,(IF(J165=[17]Legend!$A$67,[17]Legend!$B$67,IF(J165=[17]Legend!$A$68, [17]Legend!$B$68, IF(J165=[17]Legend!$A$69, [17]Legend!$B$69, IF(J165=[17]Legend!$A$70, [17]Legend!$B$70, IF(J165=[17]Legend!$A$71, [17]Legend!$B$71, IF(J165=[17]Legend!$A$72, [17]Legend!$B$72, (IF(J165=[17]Legend!$A$73, [17]Legend!$B$73, IF(J165=[17]Legend!$A$74, [17]Legend!$B$74, "")))))))))))</f>
        <v>25</v>
      </c>
      <c r="L165" s="33">
        <v>25</v>
      </c>
      <c r="M165" s="33"/>
      <c r="N165" s="33"/>
      <c r="O165" s="33"/>
    </row>
    <row r="166" spans="1:15" ht="14" customHeight="1" x14ac:dyDescent="0.45">
      <c r="A166" s="32">
        <v>45525</v>
      </c>
      <c r="B166" s="33" t="s">
        <v>85</v>
      </c>
      <c r="C166" s="33" t="s">
        <v>37</v>
      </c>
      <c r="D166" s="33">
        <v>1</v>
      </c>
      <c r="E166" s="33">
        <v>10</v>
      </c>
      <c r="F166" s="33">
        <v>2</v>
      </c>
      <c r="G166" s="32">
        <v>45553</v>
      </c>
      <c r="H166" s="33" t="s">
        <v>16</v>
      </c>
      <c r="I166" s="33">
        <v>1</v>
      </c>
      <c r="J166" s="33" t="s">
        <v>69</v>
      </c>
      <c r="K166" s="34">
        <f>IF(J166=[17]Legend!$A$66,[17]Legend!$B$66,(IF(J166=[17]Legend!$A$67,[17]Legend!$B$67,IF(J166=[17]Legend!$A$68, [17]Legend!$B$68, IF(J166=[17]Legend!$A$69, [17]Legend!$B$69, IF(J166=[17]Legend!$A$70, [17]Legend!$B$70, IF(J166=[17]Legend!$A$71, [17]Legend!$B$71, IF(J166=[17]Legend!$A$72, [17]Legend!$B$72, (IF(J166=[17]Legend!$A$73, [17]Legend!$B$73, IF(J166=[17]Legend!$A$74, [17]Legend!$B$74, "")))))))))))</f>
        <v>120</v>
      </c>
      <c r="L166" s="33">
        <v>120</v>
      </c>
      <c r="M166" s="33"/>
      <c r="N166" s="33"/>
      <c r="O166" s="33"/>
    </row>
    <row r="167" spans="1:15" ht="14" customHeight="1" x14ac:dyDescent="0.45">
      <c r="A167" s="32">
        <v>45525</v>
      </c>
      <c r="B167" s="33" t="s">
        <v>85</v>
      </c>
      <c r="C167" s="33" t="s">
        <v>37</v>
      </c>
      <c r="D167" s="33">
        <v>1</v>
      </c>
      <c r="E167" s="33">
        <v>10</v>
      </c>
      <c r="F167" s="33">
        <v>1</v>
      </c>
      <c r="G167" s="32">
        <v>45553</v>
      </c>
      <c r="H167" s="33" t="s">
        <v>16</v>
      </c>
      <c r="I167" s="33">
        <v>1</v>
      </c>
      <c r="J167" s="33" t="s">
        <v>18</v>
      </c>
      <c r="K167" s="34">
        <f>IF(J167=[17]Legend!$A$66,[17]Legend!$B$66,(IF(J167=[17]Legend!$A$67,[17]Legend!$B$67,IF(J167=[17]Legend!$A$68, [17]Legend!$B$68, IF(J167=[17]Legend!$A$69, [17]Legend!$B$69, IF(J167=[17]Legend!$A$70, [17]Legend!$B$70, IF(J167=[17]Legend!$A$71, [17]Legend!$B$71, IF(J167=[17]Legend!$A$72, [17]Legend!$B$72, (IF(J167=[17]Legend!$A$73, [17]Legend!$B$73, IF(J167=[17]Legend!$A$74, [17]Legend!$B$74, "")))))))))))</f>
        <v>5</v>
      </c>
      <c r="L167" s="33">
        <v>5</v>
      </c>
      <c r="M167" s="33"/>
      <c r="N167" s="33"/>
      <c r="O167" s="33"/>
    </row>
    <row r="168" spans="1:15" ht="14" customHeight="1" x14ac:dyDescent="0.45">
      <c r="A168" s="32">
        <v>45525</v>
      </c>
      <c r="B168" s="33" t="s">
        <v>85</v>
      </c>
      <c r="C168" s="33" t="s">
        <v>37</v>
      </c>
      <c r="D168" s="33">
        <v>1</v>
      </c>
      <c r="E168" s="33">
        <v>10</v>
      </c>
      <c r="F168" s="33">
        <v>1</v>
      </c>
      <c r="G168" s="32">
        <v>45553</v>
      </c>
      <c r="H168" s="33" t="s">
        <v>16</v>
      </c>
      <c r="I168" s="33">
        <v>1</v>
      </c>
      <c r="J168" s="33" t="s">
        <v>60</v>
      </c>
      <c r="K168" s="34">
        <f>IF(J168=[17]Legend!$A$66,[17]Legend!$B$66,(IF(J168=[17]Legend!$A$67,[17]Legend!$B$67,IF(J168=[17]Legend!$A$68, [17]Legend!$B$68, IF(J168=[17]Legend!$A$69, [17]Legend!$B$69, IF(J168=[17]Legend!$A$70, [17]Legend!$B$70, IF(J168=[17]Legend!$A$71, [17]Legend!$B$71, IF(J168=[17]Legend!$A$72, [17]Legend!$B$72, (IF(J168=[17]Legend!$A$73, [17]Legend!$B$73, IF(J168=[17]Legend!$A$74, [17]Legend!$B$74, "")))))))))))</f>
        <v>25</v>
      </c>
      <c r="L168" s="33">
        <v>25</v>
      </c>
      <c r="M168" s="33"/>
      <c r="N168" s="33"/>
      <c r="O168" s="33"/>
    </row>
    <row r="169" spans="1:15" ht="14" customHeight="1" x14ac:dyDescent="0.45">
      <c r="A169" s="32">
        <v>45525</v>
      </c>
      <c r="B169" s="33" t="s">
        <v>85</v>
      </c>
      <c r="C169" s="33" t="s">
        <v>37</v>
      </c>
      <c r="D169" s="33">
        <v>1</v>
      </c>
      <c r="E169" s="33">
        <v>10</v>
      </c>
      <c r="F169" s="33">
        <v>1</v>
      </c>
      <c r="G169" s="32">
        <v>45553</v>
      </c>
      <c r="H169" s="33" t="s">
        <v>16</v>
      </c>
      <c r="I169" s="33">
        <v>1</v>
      </c>
      <c r="J169" s="33" t="s">
        <v>69</v>
      </c>
      <c r="K169" s="34">
        <f>IF(J169=[17]Legend!$A$66,[17]Legend!$B$66,(IF(J169=[17]Legend!$A$67,[17]Legend!$B$67,IF(J169=[17]Legend!$A$68, [17]Legend!$B$68, IF(J169=[17]Legend!$A$69, [17]Legend!$B$69, IF(J169=[17]Legend!$A$70, [17]Legend!$B$70, IF(J169=[17]Legend!$A$71, [17]Legend!$B$71, IF(J169=[17]Legend!$A$72, [17]Legend!$B$72, (IF(J169=[17]Legend!$A$73, [17]Legend!$B$73, IF(J169=[17]Legend!$A$74, [17]Legend!$B$74, "")))))))))))</f>
        <v>120</v>
      </c>
      <c r="L169" s="33">
        <v>120</v>
      </c>
      <c r="M169" s="33"/>
      <c r="N169" s="33"/>
      <c r="O169" s="33"/>
    </row>
    <row r="170" spans="1:15" ht="14" customHeight="1" x14ac:dyDescent="0.45">
      <c r="A170" s="32">
        <v>45532</v>
      </c>
      <c r="B170" s="33" t="s">
        <v>85</v>
      </c>
      <c r="C170" s="33" t="s">
        <v>90</v>
      </c>
      <c r="D170" s="33">
        <v>2</v>
      </c>
      <c r="E170" s="33">
        <v>10</v>
      </c>
      <c r="F170" s="33">
        <v>1</v>
      </c>
      <c r="G170" s="32">
        <v>45566</v>
      </c>
      <c r="H170" s="33" t="s">
        <v>43</v>
      </c>
      <c r="I170" s="33">
        <v>1</v>
      </c>
      <c r="J170" s="33" t="s">
        <v>18</v>
      </c>
      <c r="K170" s="34">
        <f>IF(J170=[18]Legend!$A$66,[18]Legend!$B$66,(IF(J170=[18]Legend!$A$67,[18]Legend!$B$67,IF(J170=[18]Legend!$A$68, [18]Legend!$B$68, IF(J170=[18]Legend!$A$69, [18]Legend!$B$69, IF(J170=[18]Legend!$A$70, [18]Legend!$B$70, IF(J170=[18]Legend!$A$71, [18]Legend!$B$71, IF(J170=[18]Legend!$A$72, [18]Legend!$B$72, (IF(J170=[18]Legend!$A$73, [18]Legend!$B$73, IF(J170=[18]Legend!$A$74, [18]Legend!$B$74, "")))))))))))</f>
        <v>5</v>
      </c>
      <c r="L170" s="33">
        <v>5</v>
      </c>
      <c r="M170" s="33"/>
      <c r="N170" s="33"/>
      <c r="O170" s="33"/>
    </row>
    <row r="171" spans="1:15" ht="14" customHeight="1" x14ac:dyDescent="0.45">
      <c r="A171" s="32">
        <v>45532</v>
      </c>
      <c r="B171" s="33" t="s">
        <v>85</v>
      </c>
      <c r="C171" s="33" t="s">
        <v>90</v>
      </c>
      <c r="D171" s="33">
        <v>2</v>
      </c>
      <c r="E171" s="33">
        <v>10</v>
      </c>
      <c r="F171" s="33">
        <v>1</v>
      </c>
      <c r="G171" s="32">
        <v>45566</v>
      </c>
      <c r="H171" s="33" t="s">
        <v>43</v>
      </c>
      <c r="I171" s="33">
        <v>1</v>
      </c>
      <c r="J171" s="33" t="s">
        <v>60</v>
      </c>
      <c r="K171" s="34">
        <f>IF(J171=[18]Legend!$A$66,[18]Legend!$B$66,(IF(J171=[18]Legend!$A$67,[18]Legend!$B$67,IF(J171=[18]Legend!$A$68, [18]Legend!$B$68, IF(J171=[18]Legend!$A$69, [18]Legend!$B$69, IF(J171=[18]Legend!$A$70, [18]Legend!$B$70, IF(J171=[18]Legend!$A$71, [18]Legend!$B$71, IF(J171=[18]Legend!$A$72, [18]Legend!$B$72, (IF(J171=[18]Legend!$A$73, [18]Legend!$B$73, IF(J171=[18]Legend!$A$74, [18]Legend!$B$74, "")))))))))))</f>
        <v>25</v>
      </c>
      <c r="L171" s="33">
        <v>25</v>
      </c>
      <c r="M171" s="33"/>
      <c r="N171" s="33"/>
      <c r="O171" s="33"/>
    </row>
    <row r="172" spans="1:15" ht="14" customHeight="1" x14ac:dyDescent="0.45">
      <c r="A172" s="32">
        <v>45532</v>
      </c>
      <c r="B172" s="33" t="s">
        <v>85</v>
      </c>
      <c r="C172" s="33" t="s">
        <v>90</v>
      </c>
      <c r="D172" s="33">
        <v>2</v>
      </c>
      <c r="E172" s="33">
        <v>10</v>
      </c>
      <c r="F172" s="33">
        <v>1</v>
      </c>
      <c r="G172" s="32">
        <v>45566</v>
      </c>
      <c r="H172" s="33" t="s">
        <v>43</v>
      </c>
      <c r="I172" s="33">
        <v>1</v>
      </c>
      <c r="J172" s="33" t="s">
        <v>69</v>
      </c>
      <c r="K172" s="34">
        <f>IF(J172=[18]Legend!$A$66,[18]Legend!$B$66,(IF(J172=[18]Legend!$A$67,[18]Legend!$B$67,IF(J172=[18]Legend!$A$68, [18]Legend!$B$68, IF(J172=[18]Legend!$A$69, [18]Legend!$B$69, IF(J172=[18]Legend!$A$70, [18]Legend!$B$70, IF(J172=[18]Legend!$A$71, [18]Legend!$B$71, IF(J172=[18]Legend!$A$72, [18]Legend!$B$72, (IF(J172=[18]Legend!$A$73, [18]Legend!$B$73, IF(J172=[18]Legend!$A$74, [18]Legend!$B$74, "")))))))))))</f>
        <v>120</v>
      </c>
      <c r="L172" s="33">
        <v>120</v>
      </c>
      <c r="M172" s="33"/>
      <c r="N172" s="33"/>
      <c r="O172" s="33"/>
    </row>
    <row r="173" spans="1:15" ht="14" customHeight="1" x14ac:dyDescent="0.45">
      <c r="A173" s="32">
        <v>45532</v>
      </c>
      <c r="B173" s="33" t="s">
        <v>85</v>
      </c>
      <c r="C173" s="33" t="s">
        <v>90</v>
      </c>
      <c r="D173" s="33">
        <v>2</v>
      </c>
      <c r="E173" s="33">
        <v>10</v>
      </c>
      <c r="F173" s="33">
        <v>2</v>
      </c>
      <c r="G173" s="32">
        <v>45566</v>
      </c>
      <c r="H173" s="33" t="s">
        <v>43</v>
      </c>
      <c r="I173" s="33">
        <v>1</v>
      </c>
      <c r="J173" s="33" t="s">
        <v>18</v>
      </c>
      <c r="K173" s="34">
        <f>IF(J173=[18]Legend!$A$66,[18]Legend!$B$66,(IF(J173=[18]Legend!$A$67,[18]Legend!$B$67,IF(J173=[18]Legend!$A$68, [18]Legend!$B$68, IF(J173=[18]Legend!$A$69, [18]Legend!$B$69, IF(J173=[18]Legend!$A$70, [18]Legend!$B$70, IF(J173=[18]Legend!$A$71, [18]Legend!$B$71, IF(J173=[18]Legend!$A$72, [18]Legend!$B$72, (IF(J173=[18]Legend!$A$73, [18]Legend!$B$73, IF(J173=[18]Legend!$A$74, [18]Legend!$B$74, "")))))))))))</f>
        <v>5</v>
      </c>
      <c r="L173" s="33">
        <v>5</v>
      </c>
      <c r="M173" s="33"/>
      <c r="N173" s="33"/>
      <c r="O173" s="33"/>
    </row>
    <row r="174" spans="1:15" ht="14" customHeight="1" x14ac:dyDescent="0.45">
      <c r="A174" s="32">
        <v>45532</v>
      </c>
      <c r="B174" s="33" t="s">
        <v>85</v>
      </c>
      <c r="C174" s="33" t="s">
        <v>90</v>
      </c>
      <c r="D174" s="33">
        <v>2</v>
      </c>
      <c r="E174" s="33">
        <v>10</v>
      </c>
      <c r="F174" s="33">
        <v>2</v>
      </c>
      <c r="G174" s="32">
        <v>45566</v>
      </c>
      <c r="H174" s="33" t="s">
        <v>43</v>
      </c>
      <c r="I174" s="33">
        <v>1</v>
      </c>
      <c r="J174" s="33" t="s">
        <v>60</v>
      </c>
      <c r="K174" s="34">
        <f>IF(J174=[18]Legend!$A$66,[18]Legend!$B$66,(IF(J174=[18]Legend!$A$67,[18]Legend!$B$67,IF(J174=[18]Legend!$A$68, [18]Legend!$B$68, IF(J174=[18]Legend!$A$69, [18]Legend!$B$69, IF(J174=[18]Legend!$A$70, [18]Legend!$B$70, IF(J174=[18]Legend!$A$71, [18]Legend!$B$71, IF(J174=[18]Legend!$A$72, [18]Legend!$B$72, (IF(J174=[18]Legend!$A$73, [18]Legend!$B$73, IF(J174=[18]Legend!$A$74, [18]Legend!$B$74, "")))))))))))</f>
        <v>25</v>
      </c>
      <c r="L174" s="33">
        <v>25</v>
      </c>
      <c r="M174" s="33"/>
      <c r="N174" s="33"/>
      <c r="O174" s="33"/>
    </row>
    <row r="175" spans="1:15" ht="14" customHeight="1" x14ac:dyDescent="0.45">
      <c r="A175" s="32">
        <v>45532</v>
      </c>
      <c r="B175" s="33" t="s">
        <v>85</v>
      </c>
      <c r="C175" s="33" t="s">
        <v>90</v>
      </c>
      <c r="D175" s="33">
        <v>2</v>
      </c>
      <c r="E175" s="33">
        <v>10</v>
      </c>
      <c r="F175" s="33">
        <v>2</v>
      </c>
      <c r="G175" s="32">
        <v>45566</v>
      </c>
      <c r="H175" s="33" t="s">
        <v>43</v>
      </c>
      <c r="I175" s="33">
        <v>1</v>
      </c>
      <c r="J175" s="33" t="s">
        <v>69</v>
      </c>
      <c r="K175" s="34">
        <f>IF(J175=[18]Legend!$A$66,[18]Legend!$B$66,(IF(J175=[18]Legend!$A$67,[18]Legend!$B$67,IF(J175=[18]Legend!$A$68, [18]Legend!$B$68, IF(J175=[18]Legend!$A$69, [18]Legend!$B$69, IF(J175=[18]Legend!$A$70, [18]Legend!$B$70, IF(J175=[18]Legend!$A$71, [18]Legend!$B$71, IF(J175=[18]Legend!$A$72, [18]Legend!$B$72, (IF(J175=[18]Legend!$A$73, [18]Legend!$B$73, IF(J175=[18]Legend!$A$74, [18]Legend!$B$74, "")))))))))))</f>
        <v>120</v>
      </c>
      <c r="L175" s="33">
        <v>120</v>
      </c>
      <c r="M175" s="33"/>
      <c r="N175" s="33"/>
      <c r="O175" s="33"/>
    </row>
    <row r="176" spans="1:15" ht="14" customHeight="1" x14ac:dyDescent="0.45">
      <c r="A176" s="32">
        <v>9014</v>
      </c>
      <c r="B176" s="33" t="s">
        <v>85</v>
      </c>
      <c r="C176" s="33" t="s">
        <v>43</v>
      </c>
      <c r="D176" s="33">
        <v>3</v>
      </c>
      <c r="E176" s="33">
        <v>10</v>
      </c>
      <c r="F176" s="33">
        <v>2</v>
      </c>
      <c r="G176" s="32">
        <v>9036</v>
      </c>
      <c r="H176" s="33" t="s">
        <v>86</v>
      </c>
      <c r="I176" s="33">
        <v>1</v>
      </c>
      <c r="J176" s="33" t="s">
        <v>18</v>
      </c>
      <c r="K176" s="34">
        <f>IF(J176=[2]Legend!$A$66,[2]Legend!$B$66,(IF(J176=[2]Legend!$A$67,[2]Legend!$B$67,IF(J176=[2]Legend!$A$68, [2]Legend!$B$68, IF(J176=[2]Legend!$A$69, [2]Legend!$B$69, IF(J176=[2]Legend!$A$70, [2]Legend!$B$70, IF(J176=[2]Legend!$A$71, [2]Legend!$B$71, IF(J176=[2]Legend!$A$72, [2]Legend!$B$72, (IF(J176=[2]Legend!$A$73, [2]Legend!$B$73, IF(J176=[2]Legend!$A$74, [2]Legend!$B$74, "")))))))))))</f>
        <v>5</v>
      </c>
      <c r="L176" s="33">
        <v>5</v>
      </c>
      <c r="M176" s="33">
        <v>1</v>
      </c>
      <c r="N176" s="33" t="s">
        <v>30</v>
      </c>
      <c r="O176" s="33" t="s">
        <v>87</v>
      </c>
    </row>
    <row r="177" spans="1:15" ht="14" customHeight="1" x14ac:dyDescent="0.45">
      <c r="A177" s="32">
        <v>9014</v>
      </c>
      <c r="B177" s="33" t="s">
        <v>85</v>
      </c>
      <c r="C177" s="33" t="s">
        <v>43</v>
      </c>
      <c r="D177" s="33">
        <v>3</v>
      </c>
      <c r="E177" s="33">
        <v>10</v>
      </c>
      <c r="F177" s="33">
        <v>2</v>
      </c>
      <c r="G177" s="32">
        <v>9036</v>
      </c>
      <c r="H177" s="33" t="s">
        <v>86</v>
      </c>
      <c r="I177" s="33">
        <v>1</v>
      </c>
      <c r="J177" s="33" t="s">
        <v>60</v>
      </c>
      <c r="K177" s="34">
        <f>IF(J177=[2]Legend!$A$66,[2]Legend!$B$66,(IF(J177=[2]Legend!$A$67,[2]Legend!$B$67,IF(J177=[2]Legend!$A$68, [2]Legend!$B$68, IF(J177=[2]Legend!$A$69, [2]Legend!$B$69, IF(J177=[2]Legend!$A$70, [2]Legend!$B$70, IF(J177=[2]Legend!$A$71, [2]Legend!$B$71, IF(J177=[2]Legend!$A$72, [2]Legend!$B$72, (IF(J177=[2]Legend!$A$73, [2]Legend!$B$73, IF(J177=[2]Legend!$A$74, [2]Legend!$B$74, "")))))))))))</f>
        <v>25</v>
      </c>
      <c r="L177" s="33">
        <v>25</v>
      </c>
      <c r="M177" s="33"/>
      <c r="N177" s="33"/>
      <c r="O177" s="33"/>
    </row>
    <row r="178" spans="1:15" ht="14" customHeight="1" x14ac:dyDescent="0.45">
      <c r="A178" s="32">
        <v>9014</v>
      </c>
      <c r="B178" s="33" t="s">
        <v>85</v>
      </c>
      <c r="C178" s="33" t="s">
        <v>43</v>
      </c>
      <c r="D178" s="33">
        <v>3</v>
      </c>
      <c r="E178" s="33">
        <v>10</v>
      </c>
      <c r="F178" s="33">
        <v>2</v>
      </c>
      <c r="G178" s="32">
        <v>9036</v>
      </c>
      <c r="H178" s="33" t="s">
        <v>86</v>
      </c>
      <c r="I178" s="33">
        <v>1</v>
      </c>
      <c r="J178" s="33" t="s">
        <v>69</v>
      </c>
      <c r="K178" s="34">
        <f>IF(J178=[2]Legend!$A$66,[2]Legend!$B$66,(IF(J178=[2]Legend!$A$67,[2]Legend!$B$67,IF(J178=[2]Legend!$A$68, [2]Legend!$B$68, IF(J178=[2]Legend!$A$69, [2]Legend!$B$69, IF(J178=[2]Legend!$A$70, [2]Legend!$B$70, IF(J178=[2]Legend!$A$71, [2]Legend!$B$71, IF(J178=[2]Legend!$A$72, [2]Legend!$B$72, (IF(J178=[2]Legend!$A$73, [2]Legend!$B$73, IF(J178=[2]Legend!$A$74, [2]Legend!$B$74, "")))))))))))</f>
        <v>120</v>
      </c>
      <c r="L178" s="33">
        <v>120</v>
      </c>
      <c r="M178" s="33">
        <v>2</v>
      </c>
      <c r="N178" s="33" t="s">
        <v>30</v>
      </c>
      <c r="O178" s="33" t="s">
        <v>87</v>
      </c>
    </row>
    <row r="179" spans="1:15" ht="14" customHeight="1" x14ac:dyDescent="0.45">
      <c r="A179" s="32">
        <v>9014</v>
      </c>
      <c r="B179" s="33" t="s">
        <v>85</v>
      </c>
      <c r="C179" s="33" t="s">
        <v>43</v>
      </c>
      <c r="D179" s="33">
        <v>3</v>
      </c>
      <c r="E179" s="33">
        <v>10</v>
      </c>
      <c r="F179" s="33">
        <v>1</v>
      </c>
      <c r="G179" s="32">
        <v>9036</v>
      </c>
      <c r="H179" s="33" t="s">
        <v>86</v>
      </c>
      <c r="I179" s="33">
        <v>1</v>
      </c>
      <c r="J179" s="33" t="s">
        <v>18</v>
      </c>
      <c r="K179" s="34">
        <f>IF(J179=[2]Legend!$A$66,[2]Legend!$B$66,(IF(J179=[2]Legend!$A$67,[2]Legend!$B$67,IF(J179=[2]Legend!$A$68, [2]Legend!$B$68, IF(J179=[2]Legend!$A$69, [2]Legend!$B$69, IF(J179=[2]Legend!$A$70, [2]Legend!$B$70, IF(J179=[2]Legend!$A$71, [2]Legend!$B$71, IF(J179=[2]Legend!$A$72, [2]Legend!$B$72, (IF(J179=[2]Legend!$A$73, [2]Legend!$B$73, IF(J179=[2]Legend!$A$74, [2]Legend!$B$74, "")))))))))))</f>
        <v>5</v>
      </c>
      <c r="L179" s="33">
        <v>0</v>
      </c>
      <c r="M179" s="33"/>
      <c r="N179" s="33"/>
      <c r="O179" s="33" t="s">
        <v>88</v>
      </c>
    </row>
    <row r="180" spans="1:15" ht="14" customHeight="1" x14ac:dyDescent="0.45">
      <c r="A180" s="32">
        <v>9014</v>
      </c>
      <c r="B180" s="33" t="s">
        <v>85</v>
      </c>
      <c r="C180" s="33" t="s">
        <v>43</v>
      </c>
      <c r="D180" s="33">
        <v>3</v>
      </c>
      <c r="E180" s="33">
        <v>10</v>
      </c>
      <c r="F180" s="33">
        <v>1</v>
      </c>
      <c r="G180" s="32">
        <v>9036</v>
      </c>
      <c r="H180" s="33" t="s">
        <v>86</v>
      </c>
      <c r="I180" s="33">
        <v>1</v>
      </c>
      <c r="J180" s="33" t="s">
        <v>60</v>
      </c>
      <c r="K180" s="34">
        <f>IF(J180=[2]Legend!$A$66,[2]Legend!$B$66,(IF(J180=[2]Legend!$A$67,[2]Legend!$B$67,IF(J180=[2]Legend!$A$68, [2]Legend!$B$68, IF(J180=[2]Legend!$A$69, [2]Legend!$B$69, IF(J180=[2]Legend!$A$70, [2]Legend!$B$70, IF(J180=[2]Legend!$A$71, [2]Legend!$B$71, IF(J180=[2]Legend!$A$72, [2]Legend!$B$72, (IF(J180=[2]Legend!$A$73, [2]Legend!$B$73, IF(J180=[2]Legend!$A$74, [2]Legend!$B$74, "")))))))))))</f>
        <v>25</v>
      </c>
      <c r="L180" s="33">
        <v>6</v>
      </c>
      <c r="M180" s="33">
        <v>6</v>
      </c>
      <c r="N180" s="33" t="s">
        <v>23</v>
      </c>
      <c r="O180" s="33" t="s">
        <v>88</v>
      </c>
    </row>
    <row r="181" spans="1:15" ht="14" customHeight="1" x14ac:dyDescent="0.45">
      <c r="A181" s="32">
        <v>9014</v>
      </c>
      <c r="B181" s="33" t="s">
        <v>85</v>
      </c>
      <c r="C181" s="33" t="s">
        <v>43</v>
      </c>
      <c r="D181" s="33">
        <v>3</v>
      </c>
      <c r="E181" s="33">
        <v>10</v>
      </c>
      <c r="F181" s="33">
        <v>1</v>
      </c>
      <c r="G181" s="32">
        <v>9036</v>
      </c>
      <c r="H181" s="33" t="s">
        <v>86</v>
      </c>
      <c r="I181" s="33">
        <v>1</v>
      </c>
      <c r="J181" s="33" t="s">
        <v>69</v>
      </c>
      <c r="K181" s="34">
        <f>IF(J181=[2]Legend!$A$66,[2]Legend!$B$66,(IF(J181=[2]Legend!$A$67,[2]Legend!$B$67,IF(J181=[2]Legend!$A$68, [2]Legend!$B$68, IF(J181=[2]Legend!$A$69, [2]Legend!$B$69, IF(J181=[2]Legend!$A$70, [2]Legend!$B$70, IF(J181=[2]Legend!$A$71, [2]Legend!$B$71, IF(J181=[2]Legend!$A$72, [2]Legend!$B$72, (IF(J181=[2]Legend!$A$73, [2]Legend!$B$73, IF(J181=[2]Legend!$A$74, [2]Legend!$B$74, "")))))))))))</f>
        <v>120</v>
      </c>
      <c r="L181" s="33">
        <v>103</v>
      </c>
      <c r="M181" s="33">
        <v>102</v>
      </c>
      <c r="N181" s="33" t="s">
        <v>23</v>
      </c>
      <c r="O181" s="33" t="s">
        <v>88</v>
      </c>
    </row>
  </sheetData>
  <sortState xmlns:xlrd2="http://schemas.microsoft.com/office/spreadsheetml/2017/richdata2" ref="A2:O182">
    <sortCondition ref="E1:E182"/>
  </sortState>
  <dataValidations count="4">
    <dataValidation type="whole" operator="lessThanOrEqual" allowBlank="1" showInputMessage="1" showErrorMessage="1" sqref="M2 M50 M98 M152" xr:uid="{3D3EB6F7-D885-4AB3-ACE3-2ACC2A75AD07}">
      <formula1>K2</formula1>
      <formula2>0</formula2>
    </dataValidation>
    <dataValidation type="whole" operator="lessThanOrEqual" allowBlank="1" showInputMessage="1" showErrorMessage="1" sqref="L2 L50 L53 L59 L62 L65 L98 L101 L104 L107 L110 L113 L116 L119 L122 L125 L128 L152 L155 L158 L161 L164 L167 L170 L173 L176 L179" xr:uid="{2CAE1FE0-832C-4DAA-BD2C-10C736F3A0A6}">
      <formula1>K2</formula1>
      <formula2>0</formula2>
    </dataValidation>
    <dataValidation type="whole" operator="lessThanOrEqual" allowBlank="1" showInputMessage="1" showErrorMessage="1" sqref="M131" xr:uid="{7391F1C8-30D0-446B-A5A1-950C93772750}">
      <formula1>K131</formula1>
    </dataValidation>
    <dataValidation type="whole" operator="lessThanOrEqual" allowBlank="1" showInputMessage="1" showErrorMessage="1" sqref="L131" xr:uid="{2D92E626-C4F1-43B5-89B4-A0E146310992}">
      <formula1>K131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BEA</vt:lpstr>
      <vt:lpstr>BET</vt:lpstr>
      <vt:lpstr>CEL</vt:lpstr>
      <vt:lpstr>NAT</vt:lpstr>
      <vt:lpstr>NEU</vt:lpstr>
      <vt:lpstr>SCH</vt:lpstr>
      <vt:lpstr>VOR</vt:lpstr>
      <vt:lpstr>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Perret  Eléonore</dc:creator>
  <cp:lastModifiedBy>Perret  Eléonore</cp:lastModifiedBy>
  <dcterms:created xsi:type="dcterms:W3CDTF">2025-05-26T13:38:27Z</dcterms:created>
  <dcterms:modified xsi:type="dcterms:W3CDTF">2025-05-26T14:45:26Z</dcterms:modified>
</cp:coreProperties>
</file>