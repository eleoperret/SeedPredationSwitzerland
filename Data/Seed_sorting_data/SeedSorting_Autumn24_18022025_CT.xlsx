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Seed_predation_CH\Shared_SPP_CH\SeedSorting\SeedSortingData\"/>
    </mc:Choice>
  </mc:AlternateContent>
  <xr:revisionPtr revIDLastSave="0" documentId="13_ncr:1_{7D290304-BCCB-4EC7-8B7C-BA341806FDD3}" xr6:coauthVersionLast="47" xr6:coauthVersionMax="47" xr10:uidLastSave="{00000000-0000-0000-0000-000000000000}"/>
  <workbookProtection workbookAlgorithmName="SHA-512" workbookHashValue="PC6mjfPrq3FaR3SU3i6ab+7JQxQQvsz6+QmzetWHnBRtcDgV47/QHHbRIw4nTeN8JL1nNPihXzqxlRwqJo7upA==" workbookSaltValue="toH0+QlIX1b3JFBGQU0kCA==" workbookSpinCount="100000" lockStructure="1"/>
  <bookViews>
    <workbookView xWindow="-45120" yWindow="4800" windowWidth="29040" windowHeight="15720" xr2:uid="{B1EBB2EE-A2AB-487F-9068-3F81A6EAF842}"/>
  </bookViews>
  <sheets>
    <sheet name="Data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<sst xmlns="http://schemas.openxmlformats.org/spreadsheetml/2006/main" count="448" uniqueCount="89">
  <si>
    <t>DateBag</t>
  </si>
  <si>
    <t>Site</t>
  </si>
  <si>
    <t>DateSorting</t>
  </si>
  <si>
    <t>SorterID</t>
  </si>
  <si>
    <t>TreatmentNr</t>
  </si>
  <si>
    <t>SeedsCount</t>
  </si>
  <si>
    <t>SignsPredation</t>
  </si>
  <si>
    <t>Notes</t>
  </si>
  <si>
    <t>SpeciesTreatmentNr</t>
  </si>
  <si>
    <t>Species</t>
  </si>
  <si>
    <t>Pinus mugo</t>
  </si>
  <si>
    <t>Date in the format dd/mm/yyyy</t>
  </si>
  <si>
    <t>BEA</t>
  </si>
  <si>
    <t>BET</t>
  </si>
  <si>
    <t>CEL</t>
  </si>
  <si>
    <t>NAT</t>
  </si>
  <si>
    <t>NEU</t>
  </si>
  <si>
    <t>SCH</t>
  </si>
  <si>
    <t>VOR</t>
  </si>
  <si>
    <t>WAL</t>
  </si>
  <si>
    <t>Beatenberg</t>
  </si>
  <si>
    <t>Celerina</t>
  </si>
  <si>
    <t>Nationalpark</t>
  </si>
  <si>
    <t>Neunkirch</t>
  </si>
  <si>
    <t>Schänis</t>
  </si>
  <si>
    <t>Vordemwald</t>
  </si>
  <si>
    <t>Waldlabor</t>
  </si>
  <si>
    <t>Station</t>
  </si>
  <si>
    <t>number between 1 and 10</t>
  </si>
  <si>
    <t>Name and surname initials</t>
  </si>
  <si>
    <t>TreatmentID</t>
  </si>
  <si>
    <t>OpenEntryBox</t>
  </si>
  <si>
    <t>CloseEntryBox</t>
  </si>
  <si>
    <t>Abies alba</t>
  </si>
  <si>
    <t>Fagus sylvatica</t>
  </si>
  <si>
    <t>Picea abies</t>
  </si>
  <si>
    <t>Acer pseudoplatanus</t>
  </si>
  <si>
    <t>Pinus cembra</t>
  </si>
  <si>
    <t>Larix decidua</t>
  </si>
  <si>
    <t>b. Presence of animal dejection</t>
  </si>
  <si>
    <t>count of the seeds for each species</t>
  </si>
  <si>
    <t>Week</t>
  </si>
  <si>
    <t>DamagedSeedsCount</t>
  </si>
  <si>
    <t xml:space="preserve">count of seeds with signs of predation eg: small holes or cracks. Do not count seeds coat. </t>
  </si>
  <si>
    <t>Hole</t>
  </si>
  <si>
    <t>Crack</t>
  </si>
  <si>
    <t>Hole and Crack</t>
  </si>
  <si>
    <t xml:space="preserve">report signs of predation on seeds </t>
  </si>
  <si>
    <t>a.Dead ants</t>
  </si>
  <si>
    <t xml:space="preserve">c. Other notes, write </t>
  </si>
  <si>
    <t>ID</t>
  </si>
  <si>
    <t>Bettlachstock</t>
  </si>
  <si>
    <t>Abies alba, Fagus sylvatica, Acer pseudoplatanus</t>
  </si>
  <si>
    <t>Initials of the people collecting the seeds (check the paper bag)</t>
  </si>
  <si>
    <t>MD</t>
  </si>
  <si>
    <t>SG</t>
  </si>
  <si>
    <t>EP</t>
  </si>
  <si>
    <t>OL</t>
  </si>
  <si>
    <t>JN</t>
  </si>
  <si>
    <t>LW</t>
  </si>
  <si>
    <t>MD&amp;SG</t>
  </si>
  <si>
    <t>MD&amp;EP</t>
  </si>
  <si>
    <t>EP&amp;SG</t>
  </si>
  <si>
    <t>Tillia cordata</t>
  </si>
  <si>
    <t>Nr Seeds start (you should never be able to count more seeds than this amount, if there are more, please add a note, that means that there was a mistake)</t>
  </si>
  <si>
    <r>
      <t>Abies alba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Picea abies</t>
    </r>
  </si>
  <si>
    <r>
      <t>Tilia cordata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Acer pseudoplatanus</t>
    </r>
  </si>
  <si>
    <r>
      <t>Pinus cembra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Larix decidua</t>
    </r>
  </si>
  <si>
    <r>
      <t xml:space="preserve">Abies alba, </t>
    </r>
    <r>
      <rPr>
        <sz val="14"/>
        <color rgb="FF000000"/>
        <rFont val="Aptos"/>
        <family val="2"/>
      </rPr>
      <t xml:space="preserve"> </t>
    </r>
    <r>
      <rPr>
        <i/>
        <sz val="14"/>
        <color rgb="FF000000"/>
        <rFont val="Aptos"/>
        <family val="2"/>
      </rPr>
      <t>Picea abies</t>
    </r>
  </si>
  <si>
    <t>SEED SORTING DATASHEET INSTRUCTIONS</t>
  </si>
  <si>
    <t>if you find other initials add them with the simbol &amp; in between</t>
  </si>
  <si>
    <t>How to save the data</t>
  </si>
  <si>
    <t>NbSeedStart</t>
  </si>
  <si>
    <t xml:space="preserve">Number of seeds originally in the box. Check the rows above or the table at the end. This field is automatically filled on the excel datasheet and cannot be edited. </t>
  </si>
  <si>
    <t>you should never be able to count more seeds than this amount, if there are more, please add a note, that means that there was a mistake</t>
  </si>
  <si>
    <t xml:space="preserve">Access the polybox, in the 'Shared_SPP_CH' folder you can find the 'SeedSortingTemplate.xlsx' file. </t>
  </si>
  <si>
    <t xml:space="preserve"> Upload the file in the polybox into this folder: Shared_SPP_CH&gt;SeedSorting&gt;SeedSortingData</t>
  </si>
  <si>
    <t xml:space="preserve">Download the file. </t>
  </si>
  <si>
    <t>Rename the file like this: "SeedSorting_Autumn24_&lt;DDMMYYYY&gt;_&lt;YourInitials&gt;.xlsx</t>
  </si>
  <si>
    <t>WAL, VOR, BET</t>
  </si>
  <si>
    <t>SG&amp;JK</t>
  </si>
  <si>
    <t>OL&amp;JN&amp;SG</t>
  </si>
  <si>
    <t>CT</t>
  </si>
  <si>
    <t>Several dead ants in sample</t>
  </si>
  <si>
    <t>Dead ant in sample</t>
  </si>
  <si>
    <t>Bugs &amp; several dead ants in sample</t>
  </si>
  <si>
    <t>Dead bugs in sample</t>
  </si>
  <si>
    <t>Several dead ants in sample, Problem with identifiying 1 Larix seed: Very deconstructed if coat color and structure matched counted as seed</t>
  </si>
  <si>
    <t>Some seeds of different species &amp; a lot of resin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</si>
</sst>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\.mm\.yyyy;@"/>
  </numFmts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"/>
      <family val="2"/>
    </font>
    <font>
      <i/>
      <sz val="14"/>
      <color rgb="FF000000"/>
      <name val="Aptos"/>
      <family val="2"/>
    </font>
    <font>
      <b/>
      <sz val="2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164" fontId="2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0" borderId="0" xfId="0" applyFont="1"/>
    <xf numFmtId="0" fontId="5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6" readingOrder="1"/>
    </xf>
    <xf numFmtId="0" fontId="3" fillId="0" borderId="0" xfId="0" applyFont="1" applyAlignment="1">
      <alignment horizontal="left" vertical="center" indent="6" readingOrder="1"/>
    </xf>
    <xf numFmtId="0" fontId="3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165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Protection="1">
      <protection locked="0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 readingOrder="1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165" fontId="7" fillId="0" borderId="1" xfId="0" applyNumberFormat="1" applyFont="1" applyBorder="1" applyProtection="1">
      <protection locked="0"/>
    </xf>
    <xf numFmtId="0" fontId="7" fillId="0" borderId="2" xfId="0" applyFont="1" applyBorder="1" applyProtection="1">
      <protection locked="0"/>
    </xf>
    <xf numFmtId="165" fontId="7" fillId="0" borderId="2" xfId="0" applyNumberFormat="1" applyFont="1" applyBorder="1" applyProtection="1">
      <protection locked="0"/>
    </xf>
    <xf numFmtId="165" fontId="7" fillId="0" borderId="3" xfId="0" applyNumberFormat="1" applyFont="1" applyBorder="1" applyProtection="1">
      <protection locked="0"/>
    </xf>
    <xf numFmtId="0" fontId="7" fillId="0" borderId="4" xfId="0" applyFont="1" applyBorder="1" applyProtection="1">
      <protection locked="0"/>
    </xf>
    <xf numFmtId="165" fontId="7" fillId="0" borderId="4" xfId="0" applyNumberFormat="1" applyFont="1" applyBorder="1" applyProtection="1">
      <protection locked="0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90713</xdr:colOff>
      <xdr:row>93</xdr:row>
      <xdr:rowOff>32658</xdr:rowOff>
    </xdr:from>
    <xdr:to>
      <xdr:col>2</xdr:col>
      <xdr:colOff>1037928</xdr:colOff>
      <xdr:row>103</xdr:row>
      <xdr:rowOff>137523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0FAF7-71DA-3404-2988-5E73D3DF0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0713" y="20116801"/>
          <a:ext cx="8589349" cy="1926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663D-11EB-4AC1-B23F-27DD23FE9AD6}">
  <sheetPr>
    <pageSetUpPr fitToPage="1"/>
  </sheetPr>
  <dimension ref="A1:O1316"/>
  <sheetViews>
    <sheetView tabSelected="1" topLeftCell="A63" zoomScaleNormal="70" workbookViewId="0">
      <selection activeCell="A76" sqref="A76:O1316"/>
    </sheetView>
  </sheetViews>
  <sheetFormatPr baseColWidth="10" defaultColWidth="9.1328125" defaultRowHeight="14.25" x14ac:dyDescent="0.45"/>
  <cols>
    <col min="1" max="1" width="10.1328125" style="18" bestFit="1" customWidth="1"/>
    <col min="2" max="3" width="8.6640625" style="19" customWidth="1"/>
    <col min="4" max="4" width="10.1328125" style="19" customWidth="1"/>
    <col min="5" max="5" width="10.1328125" style="19" bestFit="1" customWidth="1"/>
    <col min="6" max="6" width="12.796875" style="19" bestFit="1" customWidth="1"/>
    <col min="7" max="7" width="12.1328125" style="18" customWidth="1"/>
    <col min="8" max="8" width="8.6640625" style="19"/>
    <col min="9" max="9" width="20.46484375" style="19" bestFit="1" customWidth="1"/>
    <col min="10" max="10" width="13.1328125" style="19" bestFit="1" customWidth="1"/>
    <col min="11" max="11" width="15.796875" customWidth="1"/>
    <col min="12" max="12" width="12.46484375" style="19" bestFit="1" customWidth="1"/>
    <col min="13" max="13" width="21.46484375" style="19" bestFit="1" customWidth="1"/>
    <col min="14" max="14" width="15" style="19" bestFit="1" customWidth="1"/>
    <col min="15" max="15" width="24.33203125" style="19" bestFit="1" customWidth="1"/>
  </cols>
  <sheetData>
    <row r="1" spans="1:15" ht="21" customHeight="1" x14ac:dyDescent="0.45">
      <c r="A1" s="20" t="s">
        <v>0</v>
      </c>
      <c r="B1" s="21" t="s">
        <v>1</v>
      </c>
      <c r="C1" s="21" t="s">
        <v>50</v>
      </c>
      <c r="D1" s="21" t="s">
        <v>41</v>
      </c>
      <c r="E1" s="21" t="s">
        <v>27</v>
      </c>
      <c r="F1" s="21" t="s">
        <v>4</v>
      </c>
      <c r="G1" s="20" t="s">
        <v>2</v>
      </c>
      <c r="H1" s="21" t="s">
        <v>3</v>
      </c>
      <c r="I1" s="21" t="s">
        <v>8</v>
      </c>
      <c r="J1" s="21" t="s">
        <v>9</v>
      </c>
      <c r="K1" s="21" t="s">
        <v>72</v>
      </c>
      <c r="L1" s="21" t="s">
        <v>5</v>
      </c>
      <c r="M1" s="21" t="s">
        <v>42</v>
      </c>
      <c r="N1" s="21" t="s">
        <v>6</v>
      </c>
      <c r="O1" s="21" t="s">
        <v>7</v>
      </c>
    </row>
    <row r="2" spans="1:15" ht="21" customHeight="1" x14ac:dyDescent="0.45">
      <c r="A2" s="16">
        <v>45560</v>
      </c>
      <c r="B2" s="17" t="s">
        <v>15</v>
      </c>
      <c r="C2" s="17" t="s">
        <v>55</v>
      </c>
      <c r="D2" s="17">
        <v>2</v>
      </c>
      <c r="E2" s="17">
        <v>5</v>
      </c>
      <c r="F2" s="17">
        <v>2</v>
      </c>
      <c r="G2" s="16">
        <v>45698</v>
      </c>
      <c r="H2" s="17" t="s">
        <v>82</v>
      </c>
      <c r="I2" s="17">
        <v>6</v>
      </c>
      <c r="J2" s="17" t="s">
        <v>10</v>
      </c>
      <c r="K2" s="1">
        <f>IF(J2=Legend!$A$67,Legend!$B$67,(IF(J2=Legend!$A$68,Legend!$B$68,IF(J2=Legend!$A$69, Legend!$B$69, IF(J2=Legend!$A$70, Legend!$B$70, IF(J2=Legend!$A$71, Legend!$B$71, IF(J2=Legend!$A$72, Legend!$B$72, IF(J2=Legend!$A$73, Legend!$B$73, (IF(J2=Legend!$A$74, Legend!$B$74, IF(J2=Legend!$A$75, Legend!$B$75, "")))))))))))</f>
        <v>180</v>
      </c>
      <c r="L2" s="17">
        <v>179</v>
      </c>
      <c r="M2" s="17">
        <v>0</v>
      </c>
      <c r="N2" s="17"/>
      <c r="O2" s="17"/>
    </row>
    <row r="3" spans="1:15" ht="21" customHeight="1" x14ac:dyDescent="0.45">
      <c r="A3" s="16">
        <v>45560</v>
      </c>
      <c r="B3" s="17" t="s">
        <v>15</v>
      </c>
      <c r="C3" s="17" t="s">
        <v>55</v>
      </c>
      <c r="D3" s="17">
        <v>2</v>
      </c>
      <c r="E3" s="17">
        <v>5</v>
      </c>
      <c r="F3" s="17">
        <v>1</v>
      </c>
      <c r="G3" s="16">
        <v>45698</v>
      </c>
      <c r="H3" s="17" t="s">
        <v>82</v>
      </c>
      <c r="I3" s="17">
        <v>6</v>
      </c>
      <c r="J3" s="17" t="s">
        <v>10</v>
      </c>
      <c r="K3" s="1">
        <f>IF(J3=Legend!$A$67,Legend!$B$67,(IF(J3=Legend!$A$68,Legend!$B$68,IF(J3=Legend!$A$69, Legend!$B$69, IF(J3=Legend!$A$70, Legend!$B$70, IF(J3=Legend!$A$71, Legend!$B$71, IF(J3=Legend!$A$72, Legend!$B$72, IF(J3=Legend!$A$73, Legend!$B$73, (IF(J3=Legend!$A$74, Legend!$B$74, IF(J3=Legend!$A$75, Legend!$B$75, "")))))))))))</f>
        <v>180</v>
      </c>
      <c r="L3" s="17">
        <v>180</v>
      </c>
      <c r="M3" s="17">
        <v>1</v>
      </c>
      <c r="N3" s="17" t="s">
        <v>45</v>
      </c>
      <c r="O3" s="17"/>
    </row>
    <row r="4" spans="1:15" ht="21" customHeight="1" x14ac:dyDescent="0.45">
      <c r="A4" s="16">
        <v>45560</v>
      </c>
      <c r="B4" s="17" t="s">
        <v>15</v>
      </c>
      <c r="C4" s="17" t="s">
        <v>55</v>
      </c>
      <c r="D4" s="17">
        <v>2</v>
      </c>
      <c r="E4" s="17">
        <v>10</v>
      </c>
      <c r="F4" s="17">
        <v>1</v>
      </c>
      <c r="G4" s="16">
        <v>45698</v>
      </c>
      <c r="H4" s="17" t="s">
        <v>82</v>
      </c>
      <c r="I4" s="17">
        <v>6</v>
      </c>
      <c r="J4" s="17" t="s">
        <v>10</v>
      </c>
      <c r="K4" s="1">
        <f>IF(J4=Legend!$A$67,Legend!$B$67,(IF(J4=Legend!$A$68,Legend!$B$68,IF(J4=Legend!$A$69, Legend!$B$69, IF(J4=Legend!$A$70, Legend!$B$70, IF(J4=Legend!$A$71, Legend!$B$71, IF(J4=Legend!$A$72, Legend!$B$72, IF(J4=Legend!$A$73, Legend!$B$73, (IF(J4=Legend!$A$74, Legend!$B$74, IF(J4=Legend!$A$75, Legend!$B$75, "")))))))))))</f>
        <v>180</v>
      </c>
      <c r="L4" s="17">
        <v>180</v>
      </c>
      <c r="M4" s="17">
        <v>0</v>
      </c>
      <c r="N4" s="17"/>
      <c r="O4" s="17" t="s">
        <v>83</v>
      </c>
    </row>
    <row r="5" spans="1:15" ht="21" customHeight="1" x14ac:dyDescent="0.45">
      <c r="A5" s="16">
        <v>45560</v>
      </c>
      <c r="B5" s="17" t="s">
        <v>15</v>
      </c>
      <c r="C5" s="17" t="s">
        <v>55</v>
      </c>
      <c r="D5" s="17">
        <v>2</v>
      </c>
      <c r="E5" s="17">
        <v>10</v>
      </c>
      <c r="F5" s="17">
        <v>2</v>
      </c>
      <c r="G5" s="16">
        <v>45698</v>
      </c>
      <c r="H5" s="17" t="s">
        <v>82</v>
      </c>
      <c r="I5" s="17">
        <v>6</v>
      </c>
      <c r="J5" s="17" t="s">
        <v>10</v>
      </c>
      <c r="K5" s="1">
        <f>IF(J5=Legend!$A$67,Legend!$B$67,(IF(J5=Legend!$A$68,Legend!$B$68,IF(J5=Legend!$A$69, Legend!$B$69, IF(J5=Legend!$A$70, Legend!$B$70, IF(J5=Legend!$A$71, Legend!$B$71, IF(J5=Legend!$A$72, Legend!$B$72, IF(J5=Legend!$A$73, Legend!$B$73, (IF(J5=Legend!$A$74, Legend!$B$74, IF(J5=Legend!$A$75, Legend!$B$75, "")))))))))))</f>
        <v>180</v>
      </c>
      <c r="L5" s="17">
        <v>180</v>
      </c>
      <c r="M5" s="17">
        <v>0</v>
      </c>
      <c r="N5" s="17"/>
      <c r="O5" s="17"/>
    </row>
    <row r="6" spans="1:15" ht="21" customHeight="1" x14ac:dyDescent="0.45">
      <c r="A6" s="16">
        <v>45560</v>
      </c>
      <c r="B6" s="17" t="s">
        <v>15</v>
      </c>
      <c r="C6" s="17" t="s">
        <v>55</v>
      </c>
      <c r="D6" s="17">
        <v>2</v>
      </c>
      <c r="E6" s="17">
        <v>7</v>
      </c>
      <c r="F6" s="17">
        <v>1</v>
      </c>
      <c r="G6" s="16">
        <v>45698</v>
      </c>
      <c r="H6" s="17" t="s">
        <v>82</v>
      </c>
      <c r="I6" s="17">
        <v>6</v>
      </c>
      <c r="J6" s="17" t="s">
        <v>10</v>
      </c>
      <c r="K6" s="1">
        <f>IF(J6=Legend!$A$67,Legend!$B$67,(IF(J6=Legend!$A$68,Legend!$B$68,IF(J6=Legend!$A$69, Legend!$B$69, IF(J6=Legend!$A$70, Legend!$B$70, IF(J6=Legend!$A$71, Legend!$B$71, IF(J6=Legend!$A$72, Legend!$B$72, IF(J6=Legend!$A$73, Legend!$B$73, (IF(J6=Legend!$A$74, Legend!$B$74, IF(J6=Legend!$A$75, Legend!$B$75, "")))))))))))</f>
        <v>180</v>
      </c>
      <c r="L6" s="17">
        <v>180</v>
      </c>
      <c r="M6" s="17">
        <v>0</v>
      </c>
      <c r="N6" s="17"/>
      <c r="O6" s="17" t="s">
        <v>84</v>
      </c>
    </row>
    <row r="7" spans="1:15" ht="21" customHeight="1" x14ac:dyDescent="0.45">
      <c r="A7" s="16">
        <v>45560</v>
      </c>
      <c r="B7" s="17" t="s">
        <v>15</v>
      </c>
      <c r="C7" s="17" t="s">
        <v>55</v>
      </c>
      <c r="D7" s="17">
        <v>2</v>
      </c>
      <c r="E7" s="17">
        <v>7</v>
      </c>
      <c r="F7" s="17">
        <v>2</v>
      </c>
      <c r="G7" s="16">
        <v>45698</v>
      </c>
      <c r="H7" s="17" t="s">
        <v>82</v>
      </c>
      <c r="I7" s="17">
        <v>6</v>
      </c>
      <c r="J7" s="17" t="s">
        <v>10</v>
      </c>
      <c r="K7" s="1">
        <f>IF(J7=Legend!$A$67,Legend!$B$67,(IF(J7=Legend!$A$68,Legend!$B$68,IF(J7=Legend!$A$69, Legend!$B$69, IF(J7=Legend!$A$70, Legend!$B$70, IF(J7=Legend!$A$71, Legend!$B$71, IF(J7=Legend!$A$72, Legend!$B$72, IF(J7=Legend!$A$73, Legend!$B$73, (IF(J7=Legend!$A$74, Legend!$B$74, IF(J7=Legend!$A$75, Legend!$B$75, "")))))))))))</f>
        <v>180</v>
      </c>
      <c r="L7" s="17">
        <v>184</v>
      </c>
      <c r="M7" s="17">
        <v>1</v>
      </c>
      <c r="N7" s="17" t="s">
        <v>44</v>
      </c>
      <c r="O7" s="17" t="s">
        <v>83</v>
      </c>
    </row>
    <row r="8" spans="1:15" ht="21" customHeight="1" x14ac:dyDescent="0.45">
      <c r="A8" s="16">
        <v>45561</v>
      </c>
      <c r="B8" s="17" t="s">
        <v>14</v>
      </c>
      <c r="C8" s="17" t="s">
        <v>81</v>
      </c>
      <c r="D8" s="17">
        <v>2</v>
      </c>
      <c r="E8" s="17">
        <v>9</v>
      </c>
      <c r="F8" s="17">
        <v>1</v>
      </c>
      <c r="G8" s="16">
        <v>45698</v>
      </c>
      <c r="H8" s="17" t="s">
        <v>82</v>
      </c>
      <c r="I8" s="17">
        <v>4</v>
      </c>
      <c r="J8" s="17" t="s">
        <v>37</v>
      </c>
      <c r="K8" s="1">
        <f>IF(J8=Legend!$A$67,Legend!$B$67,(IF(J8=Legend!$A$68,Legend!$B$68,IF(J8=Legend!$A$69, Legend!$B$69, IF(J8=Legend!$A$70, Legend!$B$70, IF(J8=Legend!$A$71, Legend!$B$71, IF(J8=Legend!$A$72, Legend!$B$72, IF(J8=Legend!$A$73, Legend!$B$73, (IF(J8=Legend!$A$74, Legend!$B$74, IF(J8=Legend!$A$75, Legend!$B$75, "")))))))))))</f>
        <v>3</v>
      </c>
      <c r="L8" s="17">
        <v>3</v>
      </c>
      <c r="M8" s="17">
        <v>0</v>
      </c>
      <c r="N8" s="17"/>
      <c r="O8" s="17"/>
    </row>
    <row r="9" spans="1:15" ht="21" customHeight="1" x14ac:dyDescent="0.45">
      <c r="A9" s="16">
        <v>45561</v>
      </c>
      <c r="B9" s="17" t="s">
        <v>14</v>
      </c>
      <c r="C9" s="17" t="s">
        <v>81</v>
      </c>
      <c r="D9" s="17">
        <v>2</v>
      </c>
      <c r="E9" s="17">
        <v>9</v>
      </c>
      <c r="F9" s="17">
        <v>1</v>
      </c>
      <c r="G9" s="16">
        <v>45698</v>
      </c>
      <c r="H9" s="17" t="s">
        <v>82</v>
      </c>
      <c r="I9" s="17">
        <v>4</v>
      </c>
      <c r="J9" s="17" t="s">
        <v>38</v>
      </c>
      <c r="K9" s="1">
        <f>IF(J9=Legend!$A$67,Legend!$B$67,(IF(J9=Legend!$A$68,Legend!$B$68,IF(J9=Legend!$A$69, Legend!$B$69, IF(J9=Legend!$A$70, Legend!$B$70, IF(J9=Legend!$A$71, Legend!$B$71, IF(J9=Legend!$A$72, Legend!$B$72, IF(J9=Legend!$A$73, Legend!$B$73, (IF(J9=Legend!$A$74, Legend!$B$74, IF(J9=Legend!$A$75, Legend!$B$75, "")))))))))))</f>
        <v>120</v>
      </c>
      <c r="L9" s="17">
        <v>118</v>
      </c>
      <c r="M9" s="17">
        <v>1</v>
      </c>
      <c r="N9" s="17" t="s">
        <v>44</v>
      </c>
      <c r="O9" s="17"/>
    </row>
    <row r="10" spans="1:15" ht="21" customHeight="1" x14ac:dyDescent="0.45">
      <c r="A10" s="16">
        <v>45561</v>
      </c>
      <c r="B10" s="17" t="s">
        <v>14</v>
      </c>
      <c r="C10" s="17" t="s">
        <v>81</v>
      </c>
      <c r="D10" s="17">
        <v>2</v>
      </c>
      <c r="E10" s="17">
        <v>8</v>
      </c>
      <c r="F10" s="17">
        <v>1</v>
      </c>
      <c r="G10" s="16">
        <v>45698</v>
      </c>
      <c r="H10" s="17" t="s">
        <v>82</v>
      </c>
      <c r="I10" s="17">
        <v>4</v>
      </c>
      <c r="J10" s="17" t="s">
        <v>37</v>
      </c>
      <c r="K10" s="1">
        <f>IF(J10=Legend!$A$67,Legend!$B$67,(IF(J10=Legend!$A$68,Legend!$B$68,IF(J10=Legend!$A$69, Legend!$B$69, IF(J10=Legend!$A$70, Legend!$B$70, IF(J10=Legend!$A$71, Legend!$B$71, IF(J10=Legend!$A$72, Legend!$B$72, IF(J10=Legend!$A$73, Legend!$B$73, (IF(J10=Legend!$A$74, Legend!$B$74, IF(J10=Legend!$A$75, Legend!$B$75, "")))))))))))</f>
        <v>3</v>
      </c>
      <c r="L10" s="17">
        <v>3</v>
      </c>
      <c r="M10" s="17">
        <v>0</v>
      </c>
      <c r="N10" s="17"/>
      <c r="O10" s="17" t="s">
        <v>85</v>
      </c>
    </row>
    <row r="11" spans="1:15" ht="21" customHeight="1" x14ac:dyDescent="0.45">
      <c r="A11" s="16">
        <v>45561</v>
      </c>
      <c r="B11" s="17" t="s">
        <v>14</v>
      </c>
      <c r="C11" s="17" t="s">
        <v>81</v>
      </c>
      <c r="D11" s="17">
        <v>2</v>
      </c>
      <c r="E11" s="17">
        <v>8</v>
      </c>
      <c r="F11" s="17">
        <v>1</v>
      </c>
      <c r="G11" s="16">
        <v>45698</v>
      </c>
      <c r="H11" s="17" t="s">
        <v>82</v>
      </c>
      <c r="I11" s="17">
        <v>4</v>
      </c>
      <c r="J11" s="17" t="s">
        <v>38</v>
      </c>
      <c r="K11" s="1">
        <f>IF(J11=Legend!$A$67,Legend!$B$67,(IF(J11=Legend!$A$68,Legend!$B$68,IF(J11=Legend!$A$69, Legend!$B$69, IF(J11=Legend!$A$70, Legend!$B$70, IF(J11=Legend!$A$71, Legend!$B$71, IF(J11=Legend!$A$72, Legend!$B$72, IF(J11=Legend!$A$73, Legend!$B$73, (IF(J11=Legend!$A$74, Legend!$B$74, IF(J11=Legend!$A$75, Legend!$B$75, "")))))))))))</f>
        <v>120</v>
      </c>
      <c r="L11" s="17">
        <v>119</v>
      </c>
      <c r="M11" s="17">
        <v>6</v>
      </c>
      <c r="N11" s="17" t="s">
        <v>46</v>
      </c>
      <c r="O11" s="17" t="s">
        <v>85</v>
      </c>
    </row>
    <row r="12" spans="1:15" ht="21" customHeight="1" x14ac:dyDescent="0.45">
      <c r="A12" s="26">
        <v>45554</v>
      </c>
      <c r="B12" s="27" t="s">
        <v>14</v>
      </c>
      <c r="C12" s="27" t="s">
        <v>81</v>
      </c>
      <c r="D12" s="27">
        <v>1</v>
      </c>
      <c r="E12" s="27">
        <v>9</v>
      </c>
      <c r="F12" s="27">
        <v>1</v>
      </c>
      <c r="G12" s="28">
        <v>45699</v>
      </c>
      <c r="H12" s="27" t="s">
        <v>82</v>
      </c>
      <c r="I12" s="27">
        <v>4</v>
      </c>
      <c r="J12" s="27" t="s">
        <v>37</v>
      </c>
      <c r="K12" s="1">
        <f>IF(J12=Legend!$A$67,Legend!$B$67,(IF(J12=Legend!$A$68,Legend!$B$68,IF(J12=Legend!$A$69, Legend!$B$69, IF(J12=Legend!$A$70, Legend!$B$70, IF(J12=Legend!$A$71, Legend!$B$71, IF(J12=Legend!$A$72, Legend!$B$72, IF(J12=Legend!$A$73, Legend!$B$73, (IF(J12=Legend!$A$74, Legend!$B$74, IF(J12=Legend!$A$75, Legend!$B$75, "")))))))))))</f>
        <v>3</v>
      </c>
      <c r="L12" s="17">
        <v>3</v>
      </c>
      <c r="M12" s="17">
        <v>0</v>
      </c>
      <c r="N12" s="17"/>
      <c r="O12" s="17"/>
    </row>
    <row r="13" spans="1:15" ht="21" customHeight="1" x14ac:dyDescent="0.45">
      <c r="A13" s="29">
        <v>45554</v>
      </c>
      <c r="B13" s="30" t="s">
        <v>14</v>
      </c>
      <c r="C13" s="30" t="s">
        <v>81</v>
      </c>
      <c r="D13" s="30">
        <v>1</v>
      </c>
      <c r="E13" s="30">
        <v>9</v>
      </c>
      <c r="F13" s="30">
        <v>1</v>
      </c>
      <c r="G13" s="31">
        <v>45699</v>
      </c>
      <c r="H13" s="30" t="s">
        <v>82</v>
      </c>
      <c r="I13" s="30">
        <v>4</v>
      </c>
      <c r="J13" s="30" t="s">
        <v>38</v>
      </c>
      <c r="K13" s="1">
        <f>IF(J13=Legend!$A$67,Legend!$B$67,(IF(J13=Legend!$A$68,Legend!$B$68,IF(J13=Legend!$A$69, Legend!$B$69, IF(J13=Legend!$A$70, Legend!$B$70, IF(J13=Legend!$A$71, Legend!$B$71, IF(J13=Legend!$A$72, Legend!$B$72, IF(J13=Legend!$A$73, Legend!$B$73, (IF(J13=Legend!$A$74, Legend!$B$74, IF(J13=Legend!$A$75, Legend!$B$75, "")))))))))))</f>
        <v>120</v>
      </c>
      <c r="L13" s="17">
        <v>119</v>
      </c>
      <c r="M13" s="17">
        <v>6</v>
      </c>
      <c r="N13" s="17" t="s">
        <v>46</v>
      </c>
      <c r="O13" s="17"/>
    </row>
    <row r="14" spans="1:15" ht="21" customHeight="1" x14ac:dyDescent="0.45">
      <c r="A14" s="26">
        <v>45554</v>
      </c>
      <c r="B14" s="27" t="s">
        <v>14</v>
      </c>
      <c r="C14" s="27" t="s">
        <v>81</v>
      </c>
      <c r="D14" s="27">
        <v>1</v>
      </c>
      <c r="E14" s="27">
        <v>9</v>
      </c>
      <c r="F14" s="27">
        <v>2</v>
      </c>
      <c r="G14" s="28">
        <v>45699</v>
      </c>
      <c r="H14" s="27" t="s">
        <v>82</v>
      </c>
      <c r="I14" s="27">
        <v>4</v>
      </c>
      <c r="J14" s="27" t="s">
        <v>37</v>
      </c>
      <c r="K14" s="1">
        <f>IF(J14=Legend!$A$67,Legend!$B$67,(IF(J14=Legend!$A$68,Legend!$B$68,IF(J14=Legend!$A$69, Legend!$B$69, IF(J14=Legend!$A$70, Legend!$B$70, IF(J14=Legend!$A$71, Legend!$B$71, IF(J14=Legend!$A$72, Legend!$B$72, IF(J14=Legend!$A$73, Legend!$B$73, (IF(J14=Legend!$A$74, Legend!$B$74, IF(J14=Legend!$A$75, Legend!$B$75, "")))))))))))</f>
        <v>3</v>
      </c>
      <c r="L14" s="17">
        <v>3</v>
      </c>
      <c r="M14" s="17">
        <v>0</v>
      </c>
      <c r="N14" s="17"/>
      <c r="O14" s="17" t="s">
        <v>86</v>
      </c>
    </row>
    <row r="15" spans="1:15" ht="21" customHeight="1" x14ac:dyDescent="0.45">
      <c r="A15" s="29">
        <v>45554</v>
      </c>
      <c r="B15" s="30" t="s">
        <v>14</v>
      </c>
      <c r="C15" s="30" t="s">
        <v>81</v>
      </c>
      <c r="D15" s="30">
        <v>1</v>
      </c>
      <c r="E15" s="30">
        <v>9</v>
      </c>
      <c r="F15" s="30">
        <v>2</v>
      </c>
      <c r="G15" s="31">
        <v>45699</v>
      </c>
      <c r="H15" s="30" t="s">
        <v>82</v>
      </c>
      <c r="I15" s="30">
        <v>4</v>
      </c>
      <c r="J15" s="30" t="s">
        <v>38</v>
      </c>
      <c r="K15" s="1">
        <f>IF(J15=Legend!$A$67,Legend!$B$67,(IF(J15=Legend!$A$68,Legend!$B$68,IF(J15=Legend!$A$69, Legend!$B$69, IF(J15=Legend!$A$70, Legend!$B$70, IF(J15=Legend!$A$71, Legend!$B$71, IF(J15=Legend!$A$72, Legend!$B$72, IF(J15=Legend!$A$73, Legend!$B$73, (IF(J15=Legend!$A$74, Legend!$B$74, IF(J15=Legend!$A$75, Legend!$B$75, "")))))))))))</f>
        <v>120</v>
      </c>
      <c r="L15" s="17">
        <v>119</v>
      </c>
      <c r="M15" s="17">
        <v>1</v>
      </c>
      <c r="N15" s="17" t="s">
        <v>45</v>
      </c>
      <c r="O15" s="17" t="s">
        <v>86</v>
      </c>
    </row>
    <row r="16" spans="1:15" ht="21" customHeight="1" x14ac:dyDescent="0.45">
      <c r="A16" s="26">
        <v>45561</v>
      </c>
      <c r="B16" s="27" t="s">
        <v>14</v>
      </c>
      <c r="C16" s="27" t="s">
        <v>81</v>
      </c>
      <c r="D16" s="27">
        <v>2</v>
      </c>
      <c r="E16" s="27">
        <v>4</v>
      </c>
      <c r="F16" s="27">
        <v>2</v>
      </c>
      <c r="G16" s="28">
        <v>45699</v>
      </c>
      <c r="H16" s="27" t="s">
        <v>82</v>
      </c>
      <c r="I16" s="27">
        <v>4</v>
      </c>
      <c r="J16" s="27" t="s">
        <v>37</v>
      </c>
      <c r="K16" s="1">
        <f>IF(J16=Legend!$A$67,Legend!$B$67,(IF(J16=Legend!$A$68,Legend!$B$68,IF(J16=Legend!$A$69, Legend!$B$69, IF(J16=Legend!$A$70, Legend!$B$70, IF(J16=Legend!$A$71, Legend!$B$71, IF(J16=Legend!$A$72, Legend!$B$72, IF(J16=Legend!$A$73, Legend!$B$73, (IF(J16=Legend!$A$74, Legend!$B$74, IF(J16=Legend!$A$75, Legend!$B$75, "")))))))))))</f>
        <v>3</v>
      </c>
      <c r="L16" s="17">
        <v>3</v>
      </c>
      <c r="M16" s="17">
        <v>0</v>
      </c>
      <c r="N16" s="17"/>
      <c r="O16" s="17" t="s">
        <v>84</v>
      </c>
    </row>
    <row r="17" spans="1:15" ht="21" customHeight="1" x14ac:dyDescent="0.45">
      <c r="A17" s="29">
        <v>45561</v>
      </c>
      <c r="B17" s="30" t="s">
        <v>14</v>
      </c>
      <c r="C17" s="30" t="s">
        <v>81</v>
      </c>
      <c r="D17" s="30">
        <v>2</v>
      </c>
      <c r="E17" s="30">
        <v>4</v>
      </c>
      <c r="F17" s="30">
        <v>2</v>
      </c>
      <c r="G17" s="31">
        <v>45699</v>
      </c>
      <c r="H17" s="30" t="s">
        <v>82</v>
      </c>
      <c r="I17" s="30">
        <v>4</v>
      </c>
      <c r="J17" s="30" t="s">
        <v>38</v>
      </c>
      <c r="K17" s="1">
        <f>IF(J17=Legend!$A$67,Legend!$B$67,(IF(J17=Legend!$A$68,Legend!$B$68,IF(J17=Legend!$A$69, Legend!$B$69, IF(J17=Legend!$A$70, Legend!$B$70, IF(J17=Legend!$A$71, Legend!$B$71, IF(J17=Legend!$A$72, Legend!$B$72, IF(J17=Legend!$A$73, Legend!$B$73, (IF(J17=Legend!$A$74, Legend!$B$74, IF(J17=Legend!$A$75, Legend!$B$75, "")))))))))))</f>
        <v>120</v>
      </c>
      <c r="L17" s="17">
        <v>120</v>
      </c>
      <c r="M17" s="17">
        <v>2</v>
      </c>
      <c r="N17" s="17" t="s">
        <v>46</v>
      </c>
      <c r="O17" s="17" t="s">
        <v>84</v>
      </c>
    </row>
    <row r="18" spans="1:15" ht="21" customHeight="1" x14ac:dyDescent="0.45">
      <c r="A18" s="26">
        <v>45561</v>
      </c>
      <c r="B18" s="27" t="s">
        <v>14</v>
      </c>
      <c r="C18" s="27" t="s">
        <v>81</v>
      </c>
      <c r="D18" s="27">
        <v>2</v>
      </c>
      <c r="E18" s="27">
        <v>9</v>
      </c>
      <c r="F18" s="27">
        <v>2</v>
      </c>
      <c r="G18" s="28">
        <v>45699</v>
      </c>
      <c r="H18" s="27" t="s">
        <v>82</v>
      </c>
      <c r="I18" s="27">
        <v>4</v>
      </c>
      <c r="J18" s="27" t="s">
        <v>37</v>
      </c>
      <c r="K18" s="1">
        <f>IF(J18=Legend!$A$67,Legend!$B$67,(IF(J18=Legend!$A$68,Legend!$B$68,IF(J18=Legend!$A$69, Legend!$B$69, IF(J18=Legend!$A$70, Legend!$B$70, IF(J18=Legend!$A$71, Legend!$B$71, IF(J18=Legend!$A$72, Legend!$B$72, IF(J18=Legend!$A$73, Legend!$B$73, (IF(J18=Legend!$A$74, Legend!$B$74, IF(J18=Legend!$A$75, Legend!$B$75, "")))))))))))</f>
        <v>3</v>
      </c>
      <c r="L18" s="17">
        <v>3</v>
      </c>
      <c r="M18" s="17">
        <v>1</v>
      </c>
      <c r="N18" s="17" t="s">
        <v>45</v>
      </c>
      <c r="O18" s="17"/>
    </row>
    <row r="19" spans="1:15" ht="21" customHeight="1" x14ac:dyDescent="0.45">
      <c r="A19" s="29">
        <v>45561</v>
      </c>
      <c r="B19" s="30" t="s">
        <v>14</v>
      </c>
      <c r="C19" s="30" t="s">
        <v>81</v>
      </c>
      <c r="D19" s="30">
        <v>2</v>
      </c>
      <c r="E19" s="30">
        <v>9</v>
      </c>
      <c r="F19" s="30">
        <v>2</v>
      </c>
      <c r="G19" s="31">
        <v>45699</v>
      </c>
      <c r="H19" s="30" t="s">
        <v>82</v>
      </c>
      <c r="I19" s="30">
        <v>4</v>
      </c>
      <c r="J19" s="30" t="s">
        <v>38</v>
      </c>
      <c r="K19" s="1">
        <f>IF(J19=Legend!$A$67,Legend!$B$67,(IF(J19=Legend!$A$68,Legend!$B$68,IF(J19=Legend!$A$69, Legend!$B$69, IF(J19=Legend!$A$70, Legend!$B$70, IF(J19=Legend!$A$71, Legend!$B$71, IF(J19=Legend!$A$72, Legend!$B$72, IF(J19=Legend!$A$73, Legend!$B$73, (IF(J19=Legend!$A$74, Legend!$B$74, IF(J19=Legend!$A$75, Legend!$B$75, "")))))))))))</f>
        <v>120</v>
      </c>
      <c r="L19" s="17">
        <v>119</v>
      </c>
      <c r="M19" s="17">
        <v>1</v>
      </c>
      <c r="N19" s="17" t="s">
        <v>44</v>
      </c>
      <c r="O19" s="17"/>
    </row>
    <row r="20" spans="1:15" ht="21" customHeight="1" x14ac:dyDescent="0.45">
      <c r="A20" s="26">
        <v>45561</v>
      </c>
      <c r="B20" s="27" t="s">
        <v>14</v>
      </c>
      <c r="C20" s="27" t="s">
        <v>81</v>
      </c>
      <c r="D20" s="27">
        <v>2</v>
      </c>
      <c r="E20" s="27">
        <v>4</v>
      </c>
      <c r="F20" s="27">
        <v>1</v>
      </c>
      <c r="G20" s="28">
        <v>45699</v>
      </c>
      <c r="H20" s="27" t="s">
        <v>82</v>
      </c>
      <c r="I20" s="27">
        <v>4</v>
      </c>
      <c r="J20" s="27" t="s">
        <v>37</v>
      </c>
      <c r="K20" s="1">
        <f>IF(J20=Legend!$A$67,Legend!$B$67,(IF(J20=Legend!$A$68,Legend!$B$68,IF(J20=Legend!$A$69, Legend!$B$69, IF(J20=Legend!$A$70, Legend!$B$70, IF(J20=Legend!$A$71, Legend!$B$71, IF(J20=Legend!$A$72, Legend!$B$72, IF(J20=Legend!$A$73, Legend!$B$73, (IF(J20=Legend!$A$74, Legend!$B$74, IF(J20=Legend!$A$75, Legend!$B$75, "")))))))))))</f>
        <v>3</v>
      </c>
      <c r="L20" s="17">
        <v>3</v>
      </c>
      <c r="M20" s="17">
        <v>0</v>
      </c>
      <c r="N20" s="17"/>
      <c r="O20" s="17" t="s">
        <v>85</v>
      </c>
    </row>
    <row r="21" spans="1:15" ht="21" customHeight="1" x14ac:dyDescent="0.45">
      <c r="A21" s="29">
        <v>45561</v>
      </c>
      <c r="B21" s="30" t="s">
        <v>14</v>
      </c>
      <c r="C21" s="30" t="s">
        <v>81</v>
      </c>
      <c r="D21" s="30">
        <v>2</v>
      </c>
      <c r="E21" s="30">
        <v>4</v>
      </c>
      <c r="F21" s="30">
        <v>1</v>
      </c>
      <c r="G21" s="31">
        <v>45699</v>
      </c>
      <c r="H21" s="30" t="s">
        <v>82</v>
      </c>
      <c r="I21" s="30">
        <v>4</v>
      </c>
      <c r="J21" s="30" t="s">
        <v>38</v>
      </c>
      <c r="K21" s="1">
        <f>IF(J21=Legend!$A$67,Legend!$B$67,(IF(J21=Legend!$A$68,Legend!$B$68,IF(J21=Legend!$A$69, Legend!$B$69, IF(J21=Legend!$A$70, Legend!$B$70, IF(J21=Legend!$A$71, Legend!$B$71, IF(J21=Legend!$A$72, Legend!$B$72, IF(J21=Legend!$A$73, Legend!$B$73, (IF(J21=Legend!$A$74, Legend!$B$74, IF(J21=Legend!$A$75, Legend!$B$75, "")))))))))))</f>
        <v>120</v>
      </c>
      <c r="L21" s="17">
        <v>120</v>
      </c>
      <c r="M21" s="17">
        <v>2</v>
      </c>
      <c r="N21" s="17" t="s">
        <v>44</v>
      </c>
      <c r="O21" s="17" t="s">
        <v>85</v>
      </c>
    </row>
    <row r="22" spans="1:15" ht="21" customHeight="1" x14ac:dyDescent="0.45">
      <c r="A22" s="26">
        <v>45561</v>
      </c>
      <c r="B22" s="27" t="s">
        <v>14</v>
      </c>
      <c r="C22" s="27" t="s">
        <v>81</v>
      </c>
      <c r="D22" s="27">
        <v>2</v>
      </c>
      <c r="E22" s="27">
        <v>8</v>
      </c>
      <c r="F22" s="27">
        <v>2</v>
      </c>
      <c r="G22" s="28">
        <v>45699</v>
      </c>
      <c r="H22" s="27" t="s">
        <v>82</v>
      </c>
      <c r="I22" s="27">
        <v>4</v>
      </c>
      <c r="J22" s="27" t="s">
        <v>37</v>
      </c>
      <c r="K22" s="1">
        <f>IF(J22=Legend!$A$67,Legend!$B$67,(IF(J22=Legend!$A$68,Legend!$B$68,IF(J22=Legend!$A$69, Legend!$B$69, IF(J22=Legend!$A$70, Legend!$B$70, IF(J22=Legend!$A$71, Legend!$B$71, IF(J22=Legend!$A$72, Legend!$B$72, IF(J22=Legend!$A$73, Legend!$B$73, (IF(J22=Legend!$A$74, Legend!$B$74, IF(J22=Legend!$A$75, Legend!$B$75, "")))))))))))</f>
        <v>3</v>
      </c>
      <c r="L22" s="17">
        <v>3</v>
      </c>
      <c r="M22" s="17">
        <v>1</v>
      </c>
      <c r="N22" s="17" t="s">
        <v>45</v>
      </c>
      <c r="O22" s="17"/>
    </row>
    <row r="23" spans="1:15" ht="21" customHeight="1" x14ac:dyDescent="0.45">
      <c r="A23" s="29">
        <v>45561</v>
      </c>
      <c r="B23" s="30" t="s">
        <v>14</v>
      </c>
      <c r="C23" s="30" t="s">
        <v>81</v>
      </c>
      <c r="D23" s="30">
        <v>2</v>
      </c>
      <c r="E23" s="30">
        <v>8</v>
      </c>
      <c r="F23" s="30">
        <v>2</v>
      </c>
      <c r="G23" s="31">
        <v>45699</v>
      </c>
      <c r="H23" s="30" t="s">
        <v>82</v>
      </c>
      <c r="I23" s="30">
        <v>4</v>
      </c>
      <c r="J23" s="30" t="s">
        <v>38</v>
      </c>
      <c r="K23" s="1">
        <f>IF(J23=Legend!$A$67,Legend!$B$67,(IF(J23=Legend!$A$68,Legend!$B$68,IF(J23=Legend!$A$69, Legend!$B$69, IF(J23=Legend!$A$70, Legend!$B$70, IF(J23=Legend!$A$71, Legend!$B$71, IF(J23=Legend!$A$72, Legend!$B$72, IF(J23=Legend!$A$73, Legend!$B$73, (IF(J23=Legend!$A$74, Legend!$B$74, IF(J23=Legend!$A$75, Legend!$B$75, "")))))))))))</f>
        <v>120</v>
      </c>
      <c r="L23" s="17">
        <v>119</v>
      </c>
      <c r="M23" s="17">
        <v>2</v>
      </c>
      <c r="N23" s="17" t="s">
        <v>46</v>
      </c>
      <c r="O23" s="17"/>
    </row>
    <row r="24" spans="1:15" ht="21" customHeight="1" x14ac:dyDescent="0.45">
      <c r="A24" s="26">
        <v>45561</v>
      </c>
      <c r="B24" s="27" t="s">
        <v>14</v>
      </c>
      <c r="C24" s="27" t="s">
        <v>81</v>
      </c>
      <c r="D24" s="27">
        <v>2</v>
      </c>
      <c r="E24" s="27">
        <v>3</v>
      </c>
      <c r="F24" s="27">
        <v>2</v>
      </c>
      <c r="G24" s="28">
        <v>45699</v>
      </c>
      <c r="H24" s="27" t="s">
        <v>82</v>
      </c>
      <c r="I24" s="27">
        <v>4</v>
      </c>
      <c r="J24" s="27" t="s">
        <v>37</v>
      </c>
      <c r="K24" s="1">
        <f>IF(J24=Legend!$A$67,Legend!$B$67,(IF(J24=Legend!$A$68,Legend!$B$68,IF(J24=Legend!$A$69, Legend!$B$69, IF(J24=Legend!$A$70, Legend!$B$70, IF(J24=Legend!$A$71, Legend!$B$71, IF(J24=Legend!$A$72, Legend!$B$72, IF(J24=Legend!$A$73, Legend!$B$73, (IF(J24=Legend!$A$74, Legend!$B$74, IF(J24=Legend!$A$75, Legend!$B$75, "")))))))))))</f>
        <v>3</v>
      </c>
      <c r="L24" s="17">
        <v>3</v>
      </c>
      <c r="M24" s="17">
        <v>0</v>
      </c>
      <c r="N24" s="17"/>
      <c r="O24" s="17"/>
    </row>
    <row r="25" spans="1:15" ht="21" customHeight="1" x14ac:dyDescent="0.45">
      <c r="A25" s="29">
        <v>45561</v>
      </c>
      <c r="B25" s="30" t="s">
        <v>14</v>
      </c>
      <c r="C25" s="30" t="s">
        <v>81</v>
      </c>
      <c r="D25" s="30">
        <v>2</v>
      </c>
      <c r="E25" s="30">
        <v>3</v>
      </c>
      <c r="F25" s="30">
        <v>2</v>
      </c>
      <c r="G25" s="31">
        <v>45699</v>
      </c>
      <c r="H25" s="30" t="s">
        <v>82</v>
      </c>
      <c r="I25" s="30">
        <v>4</v>
      </c>
      <c r="J25" s="30" t="s">
        <v>38</v>
      </c>
      <c r="K25" s="1">
        <f>IF(J25=Legend!$A$67,Legend!$B$67,(IF(J25=Legend!$A$68,Legend!$B$68,IF(J25=Legend!$A$69, Legend!$B$69, IF(J25=Legend!$A$70, Legend!$B$70, IF(J25=Legend!$A$71, Legend!$B$71, IF(J25=Legend!$A$72, Legend!$B$72, IF(J25=Legend!$A$73, Legend!$B$73, (IF(J25=Legend!$A$74, Legend!$B$74, IF(J25=Legend!$A$75, Legend!$B$75, "")))))))))))</f>
        <v>120</v>
      </c>
      <c r="L25" s="17">
        <v>119</v>
      </c>
      <c r="M25" s="17">
        <v>2</v>
      </c>
      <c r="N25" s="17" t="s">
        <v>44</v>
      </c>
      <c r="O25" s="17"/>
    </row>
    <row r="26" spans="1:15" ht="21" customHeight="1" x14ac:dyDescent="0.45">
      <c r="A26" s="26">
        <v>45561</v>
      </c>
      <c r="B26" s="27" t="s">
        <v>14</v>
      </c>
      <c r="C26" s="27" t="s">
        <v>81</v>
      </c>
      <c r="D26" s="27">
        <v>2</v>
      </c>
      <c r="E26" s="27">
        <v>10</v>
      </c>
      <c r="F26" s="27">
        <v>2</v>
      </c>
      <c r="G26" s="28">
        <v>45699</v>
      </c>
      <c r="H26" s="27" t="s">
        <v>82</v>
      </c>
      <c r="I26" s="27">
        <v>4</v>
      </c>
      <c r="J26" s="27" t="s">
        <v>37</v>
      </c>
      <c r="K26" s="1">
        <f>IF(J26=Legend!$A$67,Legend!$B$67,(IF(J26=Legend!$A$68,Legend!$B$68,IF(J26=Legend!$A$69, Legend!$B$69, IF(J26=Legend!$A$70, Legend!$B$70, IF(J26=Legend!$A$71, Legend!$B$71, IF(J26=Legend!$A$72, Legend!$B$72, IF(J26=Legend!$A$73, Legend!$B$73, (IF(J26=Legend!$A$74, Legend!$B$74, IF(J26=Legend!$A$75, Legend!$B$75, "")))))))))))</f>
        <v>3</v>
      </c>
      <c r="L26" s="17">
        <v>3</v>
      </c>
      <c r="M26" s="17">
        <v>0</v>
      </c>
      <c r="N26" s="17"/>
      <c r="O26" s="17"/>
    </row>
    <row r="27" spans="1:15" ht="21" customHeight="1" x14ac:dyDescent="0.45">
      <c r="A27" s="29">
        <v>45561</v>
      </c>
      <c r="B27" s="30" t="s">
        <v>14</v>
      </c>
      <c r="C27" s="30" t="s">
        <v>81</v>
      </c>
      <c r="D27" s="30">
        <v>2</v>
      </c>
      <c r="E27" s="30">
        <v>10</v>
      </c>
      <c r="F27" s="30">
        <v>2</v>
      </c>
      <c r="G27" s="31">
        <v>45699</v>
      </c>
      <c r="H27" s="30" t="s">
        <v>82</v>
      </c>
      <c r="I27" s="30">
        <v>4</v>
      </c>
      <c r="J27" s="30" t="s">
        <v>38</v>
      </c>
      <c r="K27" s="1">
        <f>IF(J27=Legend!$A$67,Legend!$B$67,(IF(J27=Legend!$A$68,Legend!$B$68,IF(J27=Legend!$A$69, Legend!$B$69, IF(J27=Legend!$A$70, Legend!$B$70, IF(J27=Legend!$A$71, Legend!$B$71, IF(J27=Legend!$A$72, Legend!$B$72, IF(J27=Legend!$A$73, Legend!$B$73, (IF(J27=Legend!$A$74, Legend!$B$74, IF(J27=Legend!$A$75, Legend!$B$75, "")))))))))))</f>
        <v>120</v>
      </c>
      <c r="L27" s="17">
        <v>120</v>
      </c>
      <c r="M27" s="17">
        <v>4</v>
      </c>
      <c r="N27" s="17" t="s">
        <v>44</v>
      </c>
      <c r="O27" s="17"/>
    </row>
    <row r="28" spans="1:15" ht="21" customHeight="1" x14ac:dyDescent="0.45">
      <c r="A28" s="26">
        <v>45561</v>
      </c>
      <c r="B28" s="27" t="s">
        <v>14</v>
      </c>
      <c r="C28" s="27" t="s">
        <v>81</v>
      </c>
      <c r="D28" s="27">
        <v>2</v>
      </c>
      <c r="E28" s="27">
        <v>3</v>
      </c>
      <c r="F28" s="27">
        <v>1</v>
      </c>
      <c r="G28" s="28">
        <v>45699</v>
      </c>
      <c r="H28" s="27" t="s">
        <v>82</v>
      </c>
      <c r="I28" s="27">
        <v>4</v>
      </c>
      <c r="J28" s="27" t="s">
        <v>37</v>
      </c>
      <c r="K28" s="1">
        <f>IF(J28=Legend!$A$67,Legend!$B$67,(IF(J28=Legend!$A$68,Legend!$B$68,IF(J28=Legend!$A$69, Legend!$B$69, IF(J28=Legend!$A$70, Legend!$B$70, IF(J28=Legend!$A$71, Legend!$B$71, IF(J28=Legend!$A$72, Legend!$B$72, IF(J28=Legend!$A$73, Legend!$B$73, (IF(J28=Legend!$A$74, Legend!$B$74, IF(J28=Legend!$A$75, Legend!$B$75, "")))))))))))</f>
        <v>3</v>
      </c>
      <c r="L28" s="17">
        <v>0</v>
      </c>
      <c r="M28" s="17">
        <v>0</v>
      </c>
      <c r="N28" s="17"/>
      <c r="O28" s="17"/>
    </row>
    <row r="29" spans="1:15" ht="21" customHeight="1" x14ac:dyDescent="0.45">
      <c r="A29" s="29">
        <v>45561</v>
      </c>
      <c r="B29" s="30" t="s">
        <v>14</v>
      </c>
      <c r="C29" s="30" t="s">
        <v>81</v>
      </c>
      <c r="D29" s="30">
        <v>2</v>
      </c>
      <c r="E29" s="30">
        <v>3</v>
      </c>
      <c r="F29" s="30">
        <v>1</v>
      </c>
      <c r="G29" s="31">
        <v>45699</v>
      </c>
      <c r="H29" s="30" t="s">
        <v>82</v>
      </c>
      <c r="I29" s="30">
        <v>4</v>
      </c>
      <c r="J29" s="30" t="s">
        <v>38</v>
      </c>
      <c r="K29" s="1">
        <f>IF(J29=Legend!$A$67,Legend!$B$67,(IF(J29=Legend!$A$68,Legend!$B$68,IF(J29=Legend!$A$69, Legend!$B$69, IF(J29=Legend!$A$70, Legend!$B$70, IF(J29=Legend!$A$71, Legend!$B$71, IF(J29=Legend!$A$72, Legend!$B$72, IF(J29=Legend!$A$73, Legend!$B$73, (IF(J29=Legend!$A$74, Legend!$B$74, IF(J29=Legend!$A$75, Legend!$B$75, "")))))))))))</f>
        <v>120</v>
      </c>
      <c r="L29" s="17">
        <v>115</v>
      </c>
      <c r="M29" s="17">
        <v>3</v>
      </c>
      <c r="N29" s="17" t="s">
        <v>44</v>
      </c>
      <c r="O29" s="17"/>
    </row>
    <row r="30" spans="1:15" ht="21" customHeight="1" x14ac:dyDescent="0.45">
      <c r="A30" s="26">
        <v>45561</v>
      </c>
      <c r="B30" s="27" t="s">
        <v>14</v>
      </c>
      <c r="C30" s="27" t="s">
        <v>81</v>
      </c>
      <c r="D30" s="27">
        <v>2</v>
      </c>
      <c r="E30" s="27">
        <v>10</v>
      </c>
      <c r="F30" s="27">
        <v>1</v>
      </c>
      <c r="G30" s="28">
        <v>45699</v>
      </c>
      <c r="H30" s="27" t="s">
        <v>82</v>
      </c>
      <c r="I30" s="27">
        <v>4</v>
      </c>
      <c r="J30" s="27" t="s">
        <v>37</v>
      </c>
      <c r="K30" s="1">
        <f>IF(J30=Legend!$A$67,Legend!$B$67,(IF(J30=Legend!$A$68,Legend!$B$68,IF(J30=Legend!$A$69, Legend!$B$69, IF(J30=Legend!$A$70, Legend!$B$70, IF(J30=Legend!$A$71, Legend!$B$71, IF(J30=Legend!$A$72, Legend!$B$72, IF(J30=Legend!$A$73, Legend!$B$73, (IF(J30=Legend!$A$74, Legend!$B$74, IF(J30=Legend!$A$75, Legend!$B$75, "")))))))))))</f>
        <v>3</v>
      </c>
      <c r="L30" s="17">
        <v>3</v>
      </c>
      <c r="M30" s="17">
        <v>0</v>
      </c>
      <c r="N30" s="17"/>
      <c r="O30" s="17" t="s">
        <v>83</v>
      </c>
    </row>
    <row r="31" spans="1:15" ht="21" customHeight="1" x14ac:dyDescent="0.45">
      <c r="A31" s="29">
        <v>45561</v>
      </c>
      <c r="B31" s="30" t="s">
        <v>14</v>
      </c>
      <c r="C31" s="30" t="s">
        <v>81</v>
      </c>
      <c r="D31" s="30">
        <v>2</v>
      </c>
      <c r="E31" s="30">
        <v>10</v>
      </c>
      <c r="F31" s="30">
        <v>1</v>
      </c>
      <c r="G31" s="31">
        <v>45699</v>
      </c>
      <c r="H31" s="30" t="s">
        <v>82</v>
      </c>
      <c r="I31" s="30">
        <v>4</v>
      </c>
      <c r="J31" s="30" t="s">
        <v>38</v>
      </c>
      <c r="K31" s="1">
        <f>IF(J31=Legend!$A$67,Legend!$B$67,(IF(J31=Legend!$A$68,Legend!$B$68,IF(J31=Legend!$A$69, Legend!$B$69, IF(J31=Legend!$A$70, Legend!$B$70, IF(J31=Legend!$A$71, Legend!$B$71, IF(J31=Legend!$A$72, Legend!$B$72, IF(J31=Legend!$A$73, Legend!$B$73, (IF(J31=Legend!$A$74, Legend!$B$74, IF(J31=Legend!$A$75, Legend!$B$75, "")))))))))))</f>
        <v>120</v>
      </c>
      <c r="L31" s="17">
        <v>120</v>
      </c>
      <c r="M31" s="17">
        <v>0</v>
      </c>
      <c r="N31" s="17"/>
      <c r="O31" s="17" t="s">
        <v>83</v>
      </c>
    </row>
    <row r="32" spans="1:15" ht="21" customHeight="1" x14ac:dyDescent="0.45">
      <c r="A32" s="26">
        <v>45568</v>
      </c>
      <c r="B32" s="27" t="s">
        <v>14</v>
      </c>
      <c r="C32" s="27" t="s">
        <v>61</v>
      </c>
      <c r="D32" s="27">
        <v>3</v>
      </c>
      <c r="E32" s="27">
        <v>9</v>
      </c>
      <c r="F32" s="27">
        <v>2</v>
      </c>
      <c r="G32" s="28">
        <v>45699</v>
      </c>
      <c r="H32" s="27" t="s">
        <v>82</v>
      </c>
      <c r="I32" s="27">
        <v>4</v>
      </c>
      <c r="J32" s="27" t="s">
        <v>37</v>
      </c>
      <c r="K32" s="1">
        <f>IF(J32=Legend!$A$67,Legend!$B$67,(IF(J32=Legend!$A$68,Legend!$B$68,IF(J32=Legend!$A$69, Legend!$B$69, IF(J32=Legend!$A$70, Legend!$B$70, IF(J32=Legend!$A$71, Legend!$B$71, IF(J32=Legend!$A$72, Legend!$B$72, IF(J32=Legend!$A$73, Legend!$B$73, (IF(J32=Legend!$A$74, Legend!$B$74, IF(J32=Legend!$A$75, Legend!$B$75, "")))))))))))</f>
        <v>3</v>
      </c>
      <c r="L32" s="17">
        <v>3</v>
      </c>
      <c r="M32" s="17">
        <v>0</v>
      </c>
      <c r="N32" s="17"/>
      <c r="O32" s="17" t="s">
        <v>83</v>
      </c>
    </row>
    <row r="33" spans="1:15" ht="21" customHeight="1" x14ac:dyDescent="0.45">
      <c r="A33" s="29">
        <v>45568</v>
      </c>
      <c r="B33" s="30" t="s">
        <v>14</v>
      </c>
      <c r="C33" s="30" t="s">
        <v>61</v>
      </c>
      <c r="D33" s="30">
        <v>3</v>
      </c>
      <c r="E33" s="30">
        <v>9</v>
      </c>
      <c r="F33" s="30">
        <v>2</v>
      </c>
      <c r="G33" s="31">
        <v>45699</v>
      </c>
      <c r="H33" s="30" t="s">
        <v>82</v>
      </c>
      <c r="I33" s="30">
        <v>4</v>
      </c>
      <c r="J33" s="30" t="s">
        <v>38</v>
      </c>
      <c r="K33" s="1">
        <f>IF(J33=Legend!$A$67,Legend!$B$67,(IF(J33=Legend!$A$68,Legend!$B$68,IF(J33=Legend!$A$69, Legend!$B$69, IF(J33=Legend!$A$70, Legend!$B$70, IF(J33=Legend!$A$71, Legend!$B$71, IF(J33=Legend!$A$72, Legend!$B$72, IF(J33=Legend!$A$73, Legend!$B$73, (IF(J33=Legend!$A$74, Legend!$B$74, IF(J33=Legend!$A$75, Legend!$B$75, "")))))))))))</f>
        <v>120</v>
      </c>
      <c r="L33" s="17">
        <v>120</v>
      </c>
      <c r="M33" s="17">
        <v>5</v>
      </c>
      <c r="N33" s="17" t="s">
        <v>46</v>
      </c>
      <c r="O33" s="17" t="s">
        <v>87</v>
      </c>
    </row>
    <row r="34" spans="1:15" ht="21" customHeight="1" x14ac:dyDescent="0.45">
      <c r="A34" s="26">
        <v>45568</v>
      </c>
      <c r="B34" s="27" t="s">
        <v>14</v>
      </c>
      <c r="C34" s="27" t="s">
        <v>61</v>
      </c>
      <c r="D34" s="27">
        <v>3</v>
      </c>
      <c r="E34" s="27">
        <v>3</v>
      </c>
      <c r="F34" s="27">
        <v>1</v>
      </c>
      <c r="G34" s="28">
        <v>45699</v>
      </c>
      <c r="H34" s="27" t="s">
        <v>82</v>
      </c>
      <c r="I34" s="27">
        <v>4</v>
      </c>
      <c r="J34" s="27" t="s">
        <v>37</v>
      </c>
      <c r="K34" s="1">
        <f>IF(J34=Legend!$A$67,Legend!$B$67,(IF(J34=Legend!$A$68,Legend!$B$68,IF(J34=Legend!$A$69, Legend!$B$69, IF(J34=Legend!$A$70, Legend!$B$70, IF(J34=Legend!$A$71, Legend!$B$71, IF(J34=Legend!$A$72, Legend!$B$72, IF(J34=Legend!$A$73, Legend!$B$73, (IF(J34=Legend!$A$74, Legend!$B$74, IF(J34=Legend!$A$75, Legend!$B$75, "")))))))))))</f>
        <v>3</v>
      </c>
      <c r="L34" s="17">
        <v>3</v>
      </c>
      <c r="M34" s="17">
        <v>0</v>
      </c>
      <c r="N34" s="17"/>
      <c r="O34" s="17"/>
    </row>
    <row r="35" spans="1:15" ht="21" customHeight="1" x14ac:dyDescent="0.45">
      <c r="A35" s="29">
        <v>45568</v>
      </c>
      <c r="B35" s="30" t="s">
        <v>14</v>
      </c>
      <c r="C35" s="30" t="s">
        <v>61</v>
      </c>
      <c r="D35" s="30">
        <v>3</v>
      </c>
      <c r="E35" s="30">
        <v>3</v>
      </c>
      <c r="F35" s="30">
        <v>1</v>
      </c>
      <c r="G35" s="31">
        <v>45699</v>
      </c>
      <c r="H35" s="30" t="s">
        <v>82</v>
      </c>
      <c r="I35" s="30">
        <v>4</v>
      </c>
      <c r="J35" s="30" t="s">
        <v>38</v>
      </c>
      <c r="K35" s="1">
        <f>IF(J35=Legend!$A$67,Legend!$B$67,(IF(J35=Legend!$A$68,Legend!$B$68,IF(J35=Legend!$A$69, Legend!$B$69, IF(J35=Legend!$A$70, Legend!$B$70, IF(J35=Legend!$A$71, Legend!$B$71, IF(J35=Legend!$A$72, Legend!$B$72, IF(J35=Legend!$A$73, Legend!$B$73, (IF(J35=Legend!$A$74, Legend!$B$74, IF(J35=Legend!$A$75, Legend!$B$75, "")))))))))))</f>
        <v>120</v>
      </c>
      <c r="L35" s="17">
        <v>83</v>
      </c>
      <c r="M35" s="17">
        <v>3</v>
      </c>
      <c r="N35" s="17" t="s">
        <v>44</v>
      </c>
      <c r="O35" s="17"/>
    </row>
    <row r="36" spans="1:15" ht="21" customHeight="1" x14ac:dyDescent="0.45">
      <c r="A36" s="16">
        <v>45582</v>
      </c>
      <c r="B36" s="17" t="s">
        <v>12</v>
      </c>
      <c r="C36" s="17" t="s">
        <v>80</v>
      </c>
      <c r="D36" s="17">
        <v>2</v>
      </c>
      <c r="E36" s="17">
        <v>2</v>
      </c>
      <c r="F36" s="17">
        <v>1</v>
      </c>
      <c r="G36" s="16">
        <v>45700</v>
      </c>
      <c r="H36" s="17" t="s">
        <v>82</v>
      </c>
      <c r="I36" s="17">
        <v>5</v>
      </c>
      <c r="J36" s="17" t="s">
        <v>33</v>
      </c>
      <c r="K36" s="1">
        <f>IF(J36=Legend!$A$67,Legend!$B$67,(IF(J36=Legend!$A$68,Legend!$B$68,IF(J36=Legend!$A$69, Legend!$B$69, IF(J36=Legend!$A$70, Legend!$B$70, IF(J36=Legend!$A$71, Legend!$B$71, IF(J36=Legend!$A$72, Legend!$B$72, IF(J36=Legend!$A$73, Legend!$B$73, (IF(J36=Legend!$A$74, Legend!$B$74, IF(J36=Legend!$A$75, Legend!$B$75, "")))))))))))</f>
        <v>25</v>
      </c>
      <c r="L36" s="17">
        <v>25</v>
      </c>
      <c r="M36" s="17">
        <v>0</v>
      </c>
      <c r="N36" s="17"/>
      <c r="O36" s="17" t="s">
        <v>88</v>
      </c>
    </row>
    <row r="37" spans="1:15" ht="21" customHeight="1" x14ac:dyDescent="0.45">
      <c r="A37" s="16">
        <v>45582</v>
      </c>
      <c r="B37" s="17" t="s">
        <v>12</v>
      </c>
      <c r="C37" s="17" t="s">
        <v>80</v>
      </c>
      <c r="D37" s="17">
        <v>2</v>
      </c>
      <c r="E37" s="17">
        <v>2</v>
      </c>
      <c r="F37" s="17">
        <v>1</v>
      </c>
      <c r="G37" s="16">
        <v>45700</v>
      </c>
      <c r="H37" s="17" t="s">
        <v>82</v>
      </c>
      <c r="I37" s="17">
        <v>5</v>
      </c>
      <c r="J37" s="17" t="s">
        <v>35</v>
      </c>
      <c r="K37" s="1">
        <f>IF(J37=Legend!$A$67,Legend!$B$67,(IF(J37=Legend!$A$68,Legend!$B$68,IF(J37=Legend!$A$69, Legend!$B$69, IF(J37=Legend!$A$70, Legend!$B$70, IF(J37=Legend!$A$71, Legend!$B$71, IF(J37=Legend!$A$72, Legend!$B$72, IF(J37=Legend!$A$73, Legend!$B$73, (IF(J37=Legend!$A$74, Legend!$B$74, IF(J37=Legend!$A$75, Legend!$B$75, "")))))))))))</f>
        <v>120</v>
      </c>
      <c r="L37" s="17">
        <v>120</v>
      </c>
      <c r="M37" s="17">
        <v>0</v>
      </c>
      <c r="N37" s="17"/>
      <c r="O37" s="17"/>
    </row>
    <row r="38" spans="1:15" ht="21" customHeight="1" x14ac:dyDescent="0.45">
      <c r="A38" s="16">
        <v>45582</v>
      </c>
      <c r="B38" s="17" t="s">
        <v>12</v>
      </c>
      <c r="C38" s="17" t="s">
        <v>80</v>
      </c>
      <c r="D38" s="17">
        <v>2</v>
      </c>
      <c r="E38" s="17">
        <v>10</v>
      </c>
      <c r="F38" s="17">
        <v>1</v>
      </c>
      <c r="G38" s="16">
        <v>45700</v>
      </c>
      <c r="H38" s="17" t="s">
        <v>82</v>
      </c>
      <c r="I38" s="17">
        <v>5</v>
      </c>
      <c r="J38" s="17" t="s">
        <v>33</v>
      </c>
      <c r="K38" s="1">
        <f>IF(J38=Legend!$A$67,Legend!$B$67,(IF(J38=Legend!$A$68,Legend!$B$68,IF(J38=Legend!$A$69, Legend!$B$69, IF(J38=Legend!$A$70, Legend!$B$70, IF(J38=Legend!$A$71, Legend!$B$71, IF(J38=Legend!$A$72, Legend!$B$72, IF(J38=Legend!$A$73, Legend!$B$73, (IF(J38=Legend!$A$74, Legend!$B$74, IF(J38=Legend!$A$75, Legend!$B$75, "")))))))))))</f>
        <v>25</v>
      </c>
      <c r="L38" s="17">
        <v>25</v>
      </c>
      <c r="M38" s="17">
        <v>1</v>
      </c>
      <c r="N38" s="17" t="s">
        <v>45</v>
      </c>
      <c r="O38" s="17"/>
    </row>
    <row r="39" spans="1:15" ht="21" customHeight="1" x14ac:dyDescent="0.45">
      <c r="A39" s="16">
        <v>45582</v>
      </c>
      <c r="B39" s="17" t="s">
        <v>12</v>
      </c>
      <c r="C39" s="17" t="s">
        <v>80</v>
      </c>
      <c r="D39" s="17">
        <v>2</v>
      </c>
      <c r="E39" s="17">
        <v>10</v>
      </c>
      <c r="F39" s="17">
        <v>1</v>
      </c>
      <c r="G39" s="16">
        <v>45700</v>
      </c>
      <c r="H39" s="17" t="s">
        <v>82</v>
      </c>
      <c r="I39" s="17">
        <v>5</v>
      </c>
      <c r="J39" s="17" t="s">
        <v>35</v>
      </c>
      <c r="K39" s="1">
        <f>IF(J39=Legend!$A$67,Legend!$B$67,(IF(J39=Legend!$A$68,Legend!$B$68,IF(J39=Legend!$A$69, Legend!$B$69, IF(J39=Legend!$A$70, Legend!$B$70, IF(J39=Legend!$A$71, Legend!$B$71, IF(J39=Legend!$A$72, Legend!$B$72, IF(J39=Legend!$A$73, Legend!$B$73, (IF(J39=Legend!$A$74, Legend!$B$74, IF(J39=Legend!$A$75, Legend!$B$75, "")))))))))))</f>
        <v>120</v>
      </c>
      <c r="L39" s="17">
        <v>118</v>
      </c>
      <c r="M39" s="17">
        <v>0</v>
      </c>
      <c r="N39" s="17"/>
      <c r="O39" s="17"/>
    </row>
    <row r="40" spans="1:15" ht="21" customHeight="1" x14ac:dyDescent="0.45">
      <c r="A40" s="16">
        <v>45582</v>
      </c>
      <c r="B40" s="17" t="s">
        <v>12</v>
      </c>
      <c r="C40" s="17" t="s">
        <v>80</v>
      </c>
      <c r="D40" s="17">
        <v>2</v>
      </c>
      <c r="E40" s="17">
        <v>9</v>
      </c>
      <c r="F40" s="17">
        <v>1</v>
      </c>
      <c r="G40" s="16">
        <v>45700</v>
      </c>
      <c r="H40" s="17" t="s">
        <v>82</v>
      </c>
      <c r="I40" s="17">
        <v>5</v>
      </c>
      <c r="J40" s="17" t="s">
        <v>33</v>
      </c>
      <c r="K40" s="1">
        <f>IF(J40=Legend!$A$67,Legend!$B$67,(IF(J40=Legend!$A$68,Legend!$B$68,IF(J40=Legend!$A$69, Legend!$B$69, IF(J40=Legend!$A$70, Legend!$B$70, IF(J40=Legend!$A$71, Legend!$B$71, IF(J40=Legend!$A$72, Legend!$B$72, IF(J40=Legend!$A$73, Legend!$B$73, (IF(J40=Legend!$A$74, Legend!$B$74, IF(J40=Legend!$A$75, Legend!$B$75, "")))))))))))</f>
        <v>25</v>
      </c>
      <c r="L40" s="17">
        <v>25</v>
      </c>
      <c r="M40" s="17">
        <v>0</v>
      </c>
      <c r="N40" s="17"/>
      <c r="O40" s="17"/>
    </row>
    <row r="41" spans="1:15" ht="21" customHeight="1" x14ac:dyDescent="0.45">
      <c r="A41" s="16">
        <v>45582</v>
      </c>
      <c r="B41" s="17" t="s">
        <v>12</v>
      </c>
      <c r="C41" s="17" t="s">
        <v>80</v>
      </c>
      <c r="D41" s="17">
        <v>2</v>
      </c>
      <c r="E41" s="17">
        <v>9</v>
      </c>
      <c r="F41" s="17">
        <v>1</v>
      </c>
      <c r="G41" s="16">
        <v>45700</v>
      </c>
      <c r="H41" s="17" t="s">
        <v>82</v>
      </c>
      <c r="I41" s="17">
        <v>5</v>
      </c>
      <c r="J41" s="17" t="s">
        <v>35</v>
      </c>
      <c r="K41" s="1">
        <f>IF(J41=Legend!$A$67,Legend!$B$67,(IF(J41=Legend!$A$68,Legend!$B$68,IF(J41=Legend!$A$69, Legend!$B$69, IF(J41=Legend!$A$70, Legend!$B$70, IF(J41=Legend!$A$71, Legend!$B$71, IF(J41=Legend!$A$72, Legend!$B$72, IF(J41=Legend!$A$73, Legend!$B$73, (IF(J41=Legend!$A$74, Legend!$B$74, IF(J41=Legend!$A$75, Legend!$B$75, "")))))))))))</f>
        <v>120</v>
      </c>
      <c r="L41" s="17">
        <v>120</v>
      </c>
      <c r="M41" s="17">
        <v>0</v>
      </c>
      <c r="N41" s="17"/>
      <c r="O41" s="17"/>
    </row>
    <row r="42" spans="1:15" ht="21" customHeight="1" x14ac:dyDescent="0.45">
      <c r="A42" s="16">
        <v>45582</v>
      </c>
      <c r="B42" s="17" t="s">
        <v>12</v>
      </c>
      <c r="C42" s="17" t="s">
        <v>80</v>
      </c>
      <c r="D42" s="17">
        <v>2</v>
      </c>
      <c r="E42" s="17">
        <v>4</v>
      </c>
      <c r="F42" s="17">
        <v>1</v>
      </c>
      <c r="G42" s="16">
        <v>45700</v>
      </c>
      <c r="H42" s="17" t="s">
        <v>82</v>
      </c>
      <c r="I42" s="17">
        <v>5</v>
      </c>
      <c r="J42" s="17" t="s">
        <v>33</v>
      </c>
      <c r="K42" s="1">
        <f>IF(J42=Legend!$A$67,Legend!$B$67,(IF(J42=Legend!$A$68,Legend!$B$68,IF(J42=Legend!$A$69, Legend!$B$69, IF(J42=Legend!$A$70, Legend!$B$70, IF(J42=Legend!$A$71, Legend!$B$71, IF(J42=Legend!$A$72, Legend!$B$72, IF(J42=Legend!$A$73, Legend!$B$73, (IF(J42=Legend!$A$74, Legend!$B$74, IF(J42=Legend!$A$75, Legend!$B$75, "")))))))))))</f>
        <v>25</v>
      </c>
      <c r="L42" s="17">
        <v>25</v>
      </c>
      <c r="M42" s="17">
        <v>0</v>
      </c>
      <c r="N42" s="17"/>
      <c r="O42" s="17"/>
    </row>
    <row r="43" spans="1:15" ht="21" customHeight="1" x14ac:dyDescent="0.45">
      <c r="A43" s="16">
        <v>45582</v>
      </c>
      <c r="B43" s="17" t="s">
        <v>12</v>
      </c>
      <c r="C43" s="17" t="s">
        <v>80</v>
      </c>
      <c r="D43" s="17">
        <v>2</v>
      </c>
      <c r="E43" s="17">
        <v>4</v>
      </c>
      <c r="F43" s="17">
        <v>1</v>
      </c>
      <c r="G43" s="16">
        <v>45700</v>
      </c>
      <c r="H43" s="17" t="s">
        <v>82</v>
      </c>
      <c r="I43" s="17">
        <v>5</v>
      </c>
      <c r="J43" s="17" t="s">
        <v>35</v>
      </c>
      <c r="K43" s="1">
        <f>IF(J43=Legend!$A$67,Legend!$B$67,(IF(J43=Legend!$A$68,Legend!$B$68,IF(J43=Legend!$A$69, Legend!$B$69, IF(J43=Legend!$A$70, Legend!$B$70, IF(J43=Legend!$A$71, Legend!$B$71, IF(J43=Legend!$A$72, Legend!$B$72, IF(J43=Legend!$A$73, Legend!$B$73, (IF(J43=Legend!$A$74, Legend!$B$74, IF(J43=Legend!$A$75, Legend!$B$75, "")))))))))))</f>
        <v>120</v>
      </c>
      <c r="L43" s="17">
        <v>120</v>
      </c>
      <c r="M43" s="17">
        <v>0</v>
      </c>
      <c r="N43" s="17"/>
      <c r="O43" s="17"/>
    </row>
    <row r="44" spans="1:15" ht="21" customHeight="1" x14ac:dyDescent="0.45">
      <c r="A44" s="16">
        <v>45582</v>
      </c>
      <c r="B44" s="17" t="s">
        <v>12</v>
      </c>
      <c r="C44" s="17" t="s">
        <v>80</v>
      </c>
      <c r="D44" s="17">
        <v>2</v>
      </c>
      <c r="E44" s="17">
        <v>7</v>
      </c>
      <c r="F44" s="17">
        <v>1</v>
      </c>
      <c r="G44" s="16">
        <v>45700</v>
      </c>
      <c r="H44" s="17" t="s">
        <v>82</v>
      </c>
      <c r="I44" s="17">
        <v>5</v>
      </c>
      <c r="J44" s="17" t="s">
        <v>33</v>
      </c>
      <c r="K44" s="1">
        <f>IF(J44=Legend!$A$67,Legend!$B$67,(IF(J44=Legend!$A$68,Legend!$B$68,IF(J44=Legend!$A$69, Legend!$B$69, IF(J44=Legend!$A$70, Legend!$B$70, IF(J44=Legend!$A$71, Legend!$B$71, IF(J44=Legend!$A$72, Legend!$B$72, IF(J44=Legend!$A$73, Legend!$B$73, (IF(J44=Legend!$A$74, Legend!$B$74, IF(J44=Legend!$A$75, Legend!$B$75, "")))))))))))</f>
        <v>25</v>
      </c>
      <c r="L44" s="17">
        <v>25</v>
      </c>
      <c r="M44" s="17">
        <v>0</v>
      </c>
      <c r="N44" s="17"/>
      <c r="O44" s="17" t="s">
        <v>83</v>
      </c>
    </row>
    <row r="45" spans="1:15" ht="21" customHeight="1" x14ac:dyDescent="0.45">
      <c r="A45" s="16">
        <v>45582</v>
      </c>
      <c r="B45" s="17" t="s">
        <v>12</v>
      </c>
      <c r="C45" s="17" t="s">
        <v>80</v>
      </c>
      <c r="D45" s="17">
        <v>2</v>
      </c>
      <c r="E45" s="17">
        <v>7</v>
      </c>
      <c r="F45" s="17">
        <v>1</v>
      </c>
      <c r="G45" s="16">
        <v>45700</v>
      </c>
      <c r="H45" s="17" t="s">
        <v>82</v>
      </c>
      <c r="I45" s="17">
        <v>5</v>
      </c>
      <c r="J45" s="17" t="s">
        <v>35</v>
      </c>
      <c r="K45" s="1">
        <f>IF(J45=Legend!$A$67,Legend!$B$67,(IF(J45=Legend!$A$68,Legend!$B$68,IF(J45=Legend!$A$69, Legend!$B$69, IF(J45=Legend!$A$70, Legend!$B$70, IF(J45=Legend!$A$71, Legend!$B$71, IF(J45=Legend!$A$72, Legend!$B$72, IF(J45=Legend!$A$73, Legend!$B$73, (IF(J45=Legend!$A$74, Legend!$B$74, IF(J45=Legend!$A$75, Legend!$B$75, "")))))))))))</f>
        <v>120</v>
      </c>
      <c r="L45" s="17">
        <v>120</v>
      </c>
      <c r="M45" s="17">
        <v>2</v>
      </c>
      <c r="N45" s="17" t="s">
        <v>44</v>
      </c>
      <c r="O45" s="17" t="s">
        <v>83</v>
      </c>
    </row>
    <row r="46" spans="1:15" ht="21" customHeight="1" x14ac:dyDescent="0.45">
      <c r="A46" s="16">
        <v>45582</v>
      </c>
      <c r="B46" s="17" t="s">
        <v>12</v>
      </c>
      <c r="C46" s="17" t="s">
        <v>80</v>
      </c>
      <c r="D46" s="17">
        <v>2</v>
      </c>
      <c r="E46" s="17">
        <v>2</v>
      </c>
      <c r="F46" s="17">
        <v>2</v>
      </c>
      <c r="G46" s="16">
        <v>45700</v>
      </c>
      <c r="H46" s="17" t="s">
        <v>82</v>
      </c>
      <c r="I46" s="17">
        <v>5</v>
      </c>
      <c r="J46" s="17" t="s">
        <v>33</v>
      </c>
      <c r="K46" s="1">
        <f>IF(J46=Legend!$A$67,Legend!$B$67,(IF(J46=Legend!$A$68,Legend!$B$68,IF(J46=Legend!$A$69, Legend!$B$69, IF(J46=Legend!$A$70, Legend!$B$70, IF(J46=Legend!$A$71, Legend!$B$71, IF(J46=Legend!$A$72, Legend!$B$72, IF(J46=Legend!$A$73, Legend!$B$73, (IF(J46=Legend!$A$74, Legend!$B$74, IF(J46=Legend!$A$75, Legend!$B$75, "")))))))))))</f>
        <v>25</v>
      </c>
      <c r="L46" s="17">
        <v>25</v>
      </c>
      <c r="M46" s="17">
        <v>0</v>
      </c>
      <c r="N46" s="17"/>
      <c r="O46" s="17"/>
    </row>
    <row r="47" spans="1:15" ht="21" customHeight="1" x14ac:dyDescent="0.45">
      <c r="A47" s="16">
        <v>45582</v>
      </c>
      <c r="B47" s="17" t="s">
        <v>12</v>
      </c>
      <c r="C47" s="17" t="s">
        <v>80</v>
      </c>
      <c r="D47" s="17">
        <v>2</v>
      </c>
      <c r="E47" s="17">
        <v>2</v>
      </c>
      <c r="F47" s="17">
        <v>2</v>
      </c>
      <c r="G47" s="16">
        <v>45700</v>
      </c>
      <c r="H47" s="17" t="s">
        <v>82</v>
      </c>
      <c r="I47" s="17">
        <v>5</v>
      </c>
      <c r="J47" s="17" t="s">
        <v>35</v>
      </c>
      <c r="K47" s="1">
        <f>IF(J47=Legend!$A$67,Legend!$B$67,(IF(J47=Legend!$A$68,Legend!$B$68,IF(J47=Legend!$A$69, Legend!$B$69, IF(J47=Legend!$A$70, Legend!$B$70, IF(J47=Legend!$A$71, Legend!$B$71, IF(J47=Legend!$A$72, Legend!$B$72, IF(J47=Legend!$A$73, Legend!$B$73, (IF(J47=Legend!$A$74, Legend!$B$74, IF(J47=Legend!$A$75, Legend!$B$75, "")))))))))))</f>
        <v>120</v>
      </c>
      <c r="L47" s="17">
        <v>120</v>
      </c>
      <c r="M47" s="17">
        <v>0</v>
      </c>
      <c r="N47" s="17"/>
      <c r="O47" s="17"/>
    </row>
    <row r="48" spans="1:15" ht="21" customHeight="1" x14ac:dyDescent="0.45">
      <c r="A48" s="16">
        <v>45582</v>
      </c>
      <c r="B48" s="17" t="s">
        <v>12</v>
      </c>
      <c r="C48" s="17" t="s">
        <v>80</v>
      </c>
      <c r="D48" s="17">
        <v>2</v>
      </c>
      <c r="E48" s="17">
        <v>6</v>
      </c>
      <c r="F48" s="17">
        <v>1</v>
      </c>
      <c r="G48" s="16">
        <v>45700</v>
      </c>
      <c r="H48" s="17" t="s">
        <v>82</v>
      </c>
      <c r="I48" s="17">
        <v>5</v>
      </c>
      <c r="J48" s="17" t="s">
        <v>33</v>
      </c>
      <c r="K48" s="1">
        <f>IF(J48=Legend!$A$67,Legend!$B$67,(IF(J48=Legend!$A$68,Legend!$B$68,IF(J48=Legend!$A$69, Legend!$B$69, IF(J48=Legend!$A$70, Legend!$B$70, IF(J48=Legend!$A$71, Legend!$B$71, IF(J48=Legend!$A$72, Legend!$B$72, IF(J48=Legend!$A$73, Legend!$B$73, (IF(J48=Legend!$A$74, Legend!$B$74, IF(J48=Legend!$A$75, Legend!$B$75, "")))))))))))</f>
        <v>25</v>
      </c>
      <c r="L48" s="17">
        <v>25</v>
      </c>
      <c r="M48" s="17">
        <v>0</v>
      </c>
      <c r="N48" s="17"/>
      <c r="O48" s="17"/>
    </row>
    <row r="49" spans="1:15" ht="21" customHeight="1" x14ac:dyDescent="0.45">
      <c r="A49" s="16">
        <v>45582</v>
      </c>
      <c r="B49" s="17" t="s">
        <v>12</v>
      </c>
      <c r="C49" s="17" t="s">
        <v>80</v>
      </c>
      <c r="D49" s="17">
        <v>2</v>
      </c>
      <c r="E49" s="17">
        <v>6</v>
      </c>
      <c r="F49" s="17">
        <v>1</v>
      </c>
      <c r="G49" s="16">
        <v>45700</v>
      </c>
      <c r="H49" s="17" t="s">
        <v>82</v>
      </c>
      <c r="I49" s="17">
        <v>5</v>
      </c>
      <c r="J49" s="17" t="s">
        <v>35</v>
      </c>
      <c r="K49" s="1">
        <f>IF(J49=Legend!$A$67,Legend!$B$67,(IF(J49=Legend!$A$68,Legend!$B$68,IF(J49=Legend!$A$69, Legend!$B$69, IF(J49=Legend!$A$70, Legend!$B$70, IF(J49=Legend!$A$71, Legend!$B$71, IF(J49=Legend!$A$72, Legend!$B$72, IF(J49=Legend!$A$73, Legend!$B$73, (IF(J49=Legend!$A$74, Legend!$B$74, IF(J49=Legend!$A$75, Legend!$B$75, "")))))))))))</f>
        <v>120</v>
      </c>
      <c r="L49" s="17">
        <v>120</v>
      </c>
      <c r="M49" s="17">
        <v>0</v>
      </c>
      <c r="N49" s="17"/>
      <c r="O49" s="17"/>
    </row>
    <row r="50" spans="1:15" ht="21" customHeight="1" x14ac:dyDescent="0.45">
      <c r="A50" s="16">
        <v>45582</v>
      </c>
      <c r="B50" s="17" t="s">
        <v>12</v>
      </c>
      <c r="C50" s="17" t="s">
        <v>80</v>
      </c>
      <c r="D50" s="17">
        <v>2</v>
      </c>
      <c r="E50" s="17">
        <v>4</v>
      </c>
      <c r="F50" s="17">
        <v>2</v>
      </c>
      <c r="G50" s="16">
        <v>45700</v>
      </c>
      <c r="H50" s="17" t="s">
        <v>82</v>
      </c>
      <c r="I50" s="17">
        <v>5</v>
      </c>
      <c r="J50" s="17" t="s">
        <v>33</v>
      </c>
      <c r="K50" s="1">
        <f>IF(J50=Legend!$A$67,Legend!$B$67,(IF(J50=Legend!$A$68,Legend!$B$68,IF(J50=Legend!$A$69, Legend!$B$69, IF(J50=Legend!$A$70, Legend!$B$70, IF(J50=Legend!$A$71, Legend!$B$71, IF(J50=Legend!$A$72, Legend!$B$72, IF(J50=Legend!$A$73, Legend!$B$73, (IF(J50=Legend!$A$74, Legend!$B$74, IF(J50=Legend!$A$75, Legend!$B$75, "")))))))))))</f>
        <v>25</v>
      </c>
      <c r="L50" s="17">
        <v>25</v>
      </c>
      <c r="M50" s="17">
        <v>0</v>
      </c>
      <c r="N50" s="17"/>
      <c r="O50" s="17"/>
    </row>
    <row r="51" spans="1:15" ht="21" customHeight="1" x14ac:dyDescent="0.45">
      <c r="A51" s="26">
        <v>45582</v>
      </c>
      <c r="B51" s="27" t="s">
        <v>12</v>
      </c>
      <c r="C51" s="27" t="s">
        <v>80</v>
      </c>
      <c r="D51" s="27">
        <v>2</v>
      </c>
      <c r="E51" s="27">
        <v>4</v>
      </c>
      <c r="F51" s="27">
        <v>2</v>
      </c>
      <c r="G51" s="28">
        <v>45700</v>
      </c>
      <c r="H51" s="27" t="s">
        <v>82</v>
      </c>
      <c r="I51" s="27">
        <v>5</v>
      </c>
      <c r="J51" s="17" t="s">
        <v>35</v>
      </c>
      <c r="K51" s="1">
        <f>IF(J51=Legend!$A$67,Legend!$B$67,(IF(J51=Legend!$A$68,Legend!$B$68,IF(J51=Legend!$A$69, Legend!$B$69, IF(J51=Legend!$A$70, Legend!$B$70, IF(J51=Legend!$A$71, Legend!$B$71, IF(J51=Legend!$A$72, Legend!$B$72, IF(J51=Legend!$A$73, Legend!$B$73, (IF(J51=Legend!$A$74, Legend!$B$74, IF(J51=Legend!$A$75, Legend!$B$75, "")))))))))))</f>
        <v>120</v>
      </c>
      <c r="L51" s="17">
        <v>120</v>
      </c>
      <c r="M51" s="17">
        <v>0</v>
      </c>
      <c r="N51" s="17"/>
      <c r="O51" s="17"/>
    </row>
    <row r="52" spans="1:15" ht="21" customHeight="1" x14ac:dyDescent="0.45">
      <c r="A52" s="16">
        <v>45582</v>
      </c>
      <c r="B52" s="17" t="s">
        <v>12</v>
      </c>
      <c r="C52" s="17" t="s">
        <v>80</v>
      </c>
      <c r="D52" s="17">
        <v>2</v>
      </c>
      <c r="E52" s="17">
        <v>5</v>
      </c>
      <c r="F52" s="17">
        <v>1</v>
      </c>
      <c r="G52" s="16">
        <v>45700</v>
      </c>
      <c r="H52" s="17" t="s">
        <v>82</v>
      </c>
      <c r="I52" s="17">
        <v>5</v>
      </c>
      <c r="J52" s="17" t="s">
        <v>33</v>
      </c>
      <c r="K52" s="1">
        <f>IF(J52=Legend!$A$67,Legend!$B$67,(IF(J52=Legend!$A$68,Legend!$B$68,IF(J52=Legend!$A$69, Legend!$B$69, IF(J52=Legend!$A$70, Legend!$B$70, IF(J52=Legend!$A$71, Legend!$B$71, IF(J52=Legend!$A$72, Legend!$B$72, IF(J52=Legend!$A$73, Legend!$B$73, (IF(J52=Legend!$A$74, Legend!$B$74, IF(J52=Legend!$A$75, Legend!$B$75, "")))))))))))</f>
        <v>25</v>
      </c>
      <c r="L52" s="17">
        <v>25</v>
      </c>
      <c r="M52" s="17">
        <v>0</v>
      </c>
      <c r="N52" s="17"/>
      <c r="O52" s="17"/>
    </row>
    <row r="53" spans="1:15" ht="21" customHeight="1" x14ac:dyDescent="0.45">
      <c r="A53" s="16">
        <v>45582</v>
      </c>
      <c r="B53" s="17" t="s">
        <v>12</v>
      </c>
      <c r="C53" s="17" t="s">
        <v>80</v>
      </c>
      <c r="D53" s="17">
        <v>2</v>
      </c>
      <c r="E53" s="17">
        <v>5</v>
      </c>
      <c r="F53" s="17">
        <v>1</v>
      </c>
      <c r="G53" s="16">
        <v>45700</v>
      </c>
      <c r="H53" s="17" t="s">
        <v>82</v>
      </c>
      <c r="I53" s="17">
        <v>5</v>
      </c>
      <c r="J53" s="17" t="s">
        <v>35</v>
      </c>
      <c r="K53" s="1">
        <f>IF(J53=Legend!$A$67,Legend!$B$67,(IF(J53=Legend!$A$68,Legend!$B$68,IF(J53=Legend!$A$69, Legend!$B$69, IF(J53=Legend!$A$70, Legend!$B$70, IF(J53=Legend!$A$71, Legend!$B$71, IF(J53=Legend!$A$72, Legend!$B$72, IF(J53=Legend!$A$73, Legend!$B$73, (IF(J53=Legend!$A$74, Legend!$B$74, IF(J53=Legend!$A$75, Legend!$B$75, "")))))))))))</f>
        <v>120</v>
      </c>
      <c r="L53" s="17">
        <v>119</v>
      </c>
      <c r="M53" s="17">
        <v>0</v>
      </c>
      <c r="N53" s="17"/>
      <c r="O53" s="17"/>
    </row>
    <row r="54" spans="1:15" ht="21" customHeight="1" x14ac:dyDescent="0.45">
      <c r="A54" s="16">
        <v>45582</v>
      </c>
      <c r="B54" s="17" t="s">
        <v>12</v>
      </c>
      <c r="C54" s="17" t="s">
        <v>80</v>
      </c>
      <c r="D54" s="17">
        <v>2</v>
      </c>
      <c r="E54" s="17">
        <v>9</v>
      </c>
      <c r="F54" s="17">
        <v>2</v>
      </c>
      <c r="G54" s="16">
        <v>45700</v>
      </c>
      <c r="H54" s="17" t="s">
        <v>82</v>
      </c>
      <c r="I54" s="17">
        <v>5</v>
      </c>
      <c r="J54" s="17" t="s">
        <v>33</v>
      </c>
      <c r="K54" s="1">
        <f>IF(J54=Legend!$A$67,Legend!$B$67,(IF(J54=Legend!$A$68,Legend!$B$68,IF(J54=Legend!$A$69, Legend!$B$69, IF(J54=Legend!$A$70, Legend!$B$70, IF(J54=Legend!$A$71, Legend!$B$71, IF(J54=Legend!$A$72, Legend!$B$72, IF(J54=Legend!$A$73, Legend!$B$73, (IF(J54=Legend!$A$74, Legend!$B$74, IF(J54=Legend!$A$75, Legend!$B$75, "")))))))))))</f>
        <v>25</v>
      </c>
      <c r="L54" s="17">
        <v>25</v>
      </c>
      <c r="M54" s="17">
        <v>1</v>
      </c>
      <c r="N54" s="17" t="s">
        <v>44</v>
      </c>
      <c r="O54" s="17"/>
    </row>
    <row r="55" spans="1:15" ht="21" customHeight="1" x14ac:dyDescent="0.45">
      <c r="A55" s="16">
        <v>45582</v>
      </c>
      <c r="B55" s="17" t="s">
        <v>12</v>
      </c>
      <c r="C55" s="17" t="s">
        <v>80</v>
      </c>
      <c r="D55" s="17">
        <v>2</v>
      </c>
      <c r="E55" s="17">
        <v>9</v>
      </c>
      <c r="F55" s="17">
        <v>2</v>
      </c>
      <c r="G55" s="16">
        <v>45700</v>
      </c>
      <c r="H55" s="17" t="s">
        <v>82</v>
      </c>
      <c r="I55" s="17">
        <v>5</v>
      </c>
      <c r="J55" s="17" t="s">
        <v>35</v>
      </c>
      <c r="K55" s="1">
        <f>IF(J55=Legend!$A$67,Legend!$B$67,(IF(J55=Legend!$A$68,Legend!$B$68,IF(J55=Legend!$A$69, Legend!$B$69, IF(J55=Legend!$A$70, Legend!$B$70, IF(J55=Legend!$A$71, Legend!$B$71, IF(J55=Legend!$A$72, Legend!$B$72, IF(J55=Legend!$A$73, Legend!$B$73, (IF(J55=Legend!$A$74, Legend!$B$74, IF(J55=Legend!$A$75, Legend!$B$75, "")))))))))))</f>
        <v>120</v>
      </c>
      <c r="L55" s="17">
        <v>120</v>
      </c>
      <c r="M55" s="17">
        <v>0</v>
      </c>
      <c r="N55" s="17"/>
      <c r="O55" s="17"/>
    </row>
    <row r="56" spans="1:15" ht="21" customHeight="1" x14ac:dyDescent="0.45">
      <c r="A56" s="16">
        <v>45575</v>
      </c>
      <c r="B56" s="17" t="s">
        <v>12</v>
      </c>
      <c r="C56" s="17" t="s">
        <v>60</v>
      </c>
      <c r="D56" s="17">
        <v>1</v>
      </c>
      <c r="E56" s="17">
        <v>7</v>
      </c>
      <c r="F56" s="17">
        <v>2</v>
      </c>
      <c r="G56" s="16">
        <v>45705</v>
      </c>
      <c r="H56" s="17" t="s">
        <v>82</v>
      </c>
      <c r="I56" s="17">
        <v>5</v>
      </c>
      <c r="J56" s="17" t="s">
        <v>33</v>
      </c>
      <c r="K56" s="1">
        <f>IF(J56=Legend!$A$67,Legend!$B$67,(IF(J56=Legend!$A$68,Legend!$B$68,IF(J56=Legend!$A$69, Legend!$B$69, IF(J56=Legend!$A$70, Legend!$B$70, IF(J56=Legend!$A$71, Legend!$B$71, IF(J56=Legend!$A$72, Legend!$B$72, IF(J56=Legend!$A$73, Legend!$B$73, (IF(J56=Legend!$A$74, Legend!$B$74, IF(J56=Legend!$A$75, Legend!$B$75, "")))))))))))</f>
        <v>25</v>
      </c>
      <c r="L56" s="17">
        <v>25</v>
      </c>
      <c r="M56" s="17">
        <v>0</v>
      </c>
      <c r="N56" s="17"/>
      <c r="O56" s="17"/>
    </row>
    <row r="57" spans="1:15" ht="21" customHeight="1" x14ac:dyDescent="0.45">
      <c r="A57" s="16">
        <v>45575</v>
      </c>
      <c r="B57" s="17" t="s">
        <v>12</v>
      </c>
      <c r="C57" s="17" t="s">
        <v>60</v>
      </c>
      <c r="D57" s="17">
        <v>1</v>
      </c>
      <c r="E57" s="17">
        <v>7</v>
      </c>
      <c r="F57" s="17">
        <v>2</v>
      </c>
      <c r="G57" s="16">
        <v>45705</v>
      </c>
      <c r="H57" s="17" t="s">
        <v>82</v>
      </c>
      <c r="I57" s="17">
        <v>5</v>
      </c>
      <c r="J57" s="17" t="s">
        <v>35</v>
      </c>
      <c r="K57" s="1">
        <f>IF(J57=Legend!$A$67,Legend!$B$67,(IF(J57=Legend!$A$68,Legend!$B$68,IF(J57=Legend!$A$69, Legend!$B$69, IF(J57=Legend!$A$70, Legend!$B$70, IF(J57=Legend!$A$71, Legend!$B$71, IF(J57=Legend!$A$72, Legend!$B$72, IF(J57=Legend!$A$73, Legend!$B$73, (IF(J57=Legend!$A$74, Legend!$B$74, IF(J57=Legend!$A$75, Legend!$B$75, "")))))))))))</f>
        <v>120</v>
      </c>
      <c r="L57" s="17">
        <v>122</v>
      </c>
      <c r="M57" s="17">
        <v>0</v>
      </c>
      <c r="N57" s="17"/>
      <c r="O57" s="17"/>
    </row>
    <row r="58" spans="1:15" ht="21" customHeight="1" x14ac:dyDescent="0.45">
      <c r="A58" s="16">
        <v>45575</v>
      </c>
      <c r="B58" s="17" t="s">
        <v>12</v>
      </c>
      <c r="C58" s="17" t="s">
        <v>60</v>
      </c>
      <c r="D58" s="17">
        <v>1</v>
      </c>
      <c r="E58" s="17">
        <v>1</v>
      </c>
      <c r="F58" s="17">
        <v>1</v>
      </c>
      <c r="G58" s="16">
        <v>45705</v>
      </c>
      <c r="H58" s="17" t="s">
        <v>82</v>
      </c>
      <c r="I58" s="17">
        <v>5</v>
      </c>
      <c r="J58" s="17" t="s">
        <v>33</v>
      </c>
      <c r="K58" s="1">
        <f>IF(J58=Legend!$A$67,Legend!$B$67,(IF(J58=Legend!$A$68,Legend!$B$68,IF(J58=Legend!$A$69, Legend!$B$69, IF(J58=Legend!$A$70, Legend!$B$70, IF(J58=Legend!$A$71, Legend!$B$71, IF(J58=Legend!$A$72, Legend!$B$72, IF(J58=Legend!$A$73, Legend!$B$73, (IF(J58=Legend!$A$74, Legend!$B$74, IF(J58=Legend!$A$75, Legend!$B$75, "")))))))))))</f>
        <v>25</v>
      </c>
      <c r="L58" s="17">
        <v>24</v>
      </c>
      <c r="M58" s="17">
        <v>1</v>
      </c>
      <c r="N58" s="17" t="s">
        <v>45</v>
      </c>
      <c r="O58" s="17"/>
    </row>
    <row r="59" spans="1:15" ht="21" customHeight="1" x14ac:dyDescent="0.45">
      <c r="A59" s="16">
        <v>45575</v>
      </c>
      <c r="B59" s="17" t="s">
        <v>12</v>
      </c>
      <c r="C59" s="17" t="s">
        <v>60</v>
      </c>
      <c r="D59" s="17">
        <v>1</v>
      </c>
      <c r="E59" s="17">
        <v>1</v>
      </c>
      <c r="F59" s="17">
        <v>1</v>
      </c>
      <c r="G59" s="16">
        <v>45705</v>
      </c>
      <c r="H59" s="17" t="s">
        <v>82</v>
      </c>
      <c r="I59" s="17">
        <v>5</v>
      </c>
      <c r="J59" s="17" t="s">
        <v>35</v>
      </c>
      <c r="K59" s="1">
        <f>IF(J59=Legend!$A$67,Legend!$B$67,(IF(J59=Legend!$A$68,Legend!$B$68,IF(J59=Legend!$A$69, Legend!$B$69, IF(J59=Legend!$A$70, Legend!$B$70, IF(J59=Legend!$A$71, Legend!$B$71, IF(J59=Legend!$A$72, Legend!$B$72, IF(J59=Legend!$A$73, Legend!$B$73, (IF(J59=Legend!$A$74, Legend!$B$74, IF(J59=Legend!$A$75, Legend!$B$75, "")))))))))))</f>
        <v>120</v>
      </c>
      <c r="L59" s="17">
        <v>120</v>
      </c>
      <c r="M59" s="17">
        <v>3</v>
      </c>
      <c r="N59" s="17" t="s">
        <v>44</v>
      </c>
      <c r="O59" s="17"/>
    </row>
    <row r="60" spans="1:15" ht="21" customHeight="1" x14ac:dyDescent="0.45">
      <c r="A60" s="16">
        <v>45575</v>
      </c>
      <c r="B60" s="17" t="s">
        <v>12</v>
      </c>
      <c r="C60" s="17" t="s">
        <v>60</v>
      </c>
      <c r="D60" s="17">
        <v>1</v>
      </c>
      <c r="E60" s="17">
        <v>9</v>
      </c>
      <c r="F60" s="17">
        <v>1</v>
      </c>
      <c r="G60" s="16">
        <v>45705</v>
      </c>
      <c r="H60" s="17" t="s">
        <v>82</v>
      </c>
      <c r="I60" s="17">
        <v>5</v>
      </c>
      <c r="J60" s="17" t="s">
        <v>33</v>
      </c>
      <c r="K60" s="1">
        <f>IF(J60=Legend!$A$67,Legend!$B$67,(IF(J60=Legend!$A$68,Legend!$B$68,IF(J60=Legend!$A$69, Legend!$B$69, IF(J60=Legend!$A$70, Legend!$B$70, IF(J60=Legend!$A$71, Legend!$B$71, IF(J60=Legend!$A$72, Legend!$B$72, IF(J60=Legend!$A$73, Legend!$B$73, (IF(J60=Legend!$A$74, Legend!$B$74, IF(J60=Legend!$A$75, Legend!$B$75, "")))))))))))</f>
        <v>25</v>
      </c>
      <c r="L60" s="17">
        <v>25</v>
      </c>
      <c r="M60" s="17">
        <v>0</v>
      </c>
      <c r="N60" s="17"/>
      <c r="O60" s="17"/>
    </row>
    <row r="61" spans="1:15" ht="21" customHeight="1" x14ac:dyDescent="0.45">
      <c r="A61" s="16">
        <v>45575</v>
      </c>
      <c r="B61" s="17" t="s">
        <v>12</v>
      </c>
      <c r="C61" s="17" t="s">
        <v>60</v>
      </c>
      <c r="D61" s="17">
        <v>1</v>
      </c>
      <c r="E61" s="17">
        <v>9</v>
      </c>
      <c r="F61" s="17">
        <v>1</v>
      </c>
      <c r="G61" s="16">
        <v>45705</v>
      </c>
      <c r="H61" s="17" t="s">
        <v>82</v>
      </c>
      <c r="I61" s="17">
        <v>5</v>
      </c>
      <c r="J61" s="17" t="s">
        <v>35</v>
      </c>
      <c r="K61" s="1">
        <f>IF(J61=Legend!$A$67,Legend!$B$67,(IF(J61=Legend!$A$68,Legend!$B$68,IF(J61=Legend!$A$69, Legend!$B$69, IF(J61=Legend!$A$70, Legend!$B$70, IF(J61=Legend!$A$71, Legend!$B$71, IF(J61=Legend!$A$72, Legend!$B$72, IF(J61=Legend!$A$73, Legend!$B$73, (IF(J61=Legend!$A$74, Legend!$B$74, IF(J61=Legend!$A$75, Legend!$B$75, "")))))))))))</f>
        <v>120</v>
      </c>
      <c r="L61" s="17">
        <v>120</v>
      </c>
      <c r="M61" s="17">
        <v>0</v>
      </c>
      <c r="N61" s="17"/>
      <c r="O61" s="17"/>
    </row>
    <row r="62" spans="1:15" ht="21" customHeight="1" x14ac:dyDescent="0.45">
      <c r="A62" s="16">
        <v>45575</v>
      </c>
      <c r="B62" s="17" t="s">
        <v>12</v>
      </c>
      <c r="C62" s="17" t="s">
        <v>60</v>
      </c>
      <c r="D62" s="17">
        <v>1</v>
      </c>
      <c r="E62" s="17">
        <v>2</v>
      </c>
      <c r="F62" s="17">
        <v>1</v>
      </c>
      <c r="G62" s="16">
        <v>45705</v>
      </c>
      <c r="H62" s="17" t="s">
        <v>82</v>
      </c>
      <c r="I62" s="17">
        <v>5</v>
      </c>
      <c r="J62" s="17" t="s">
        <v>33</v>
      </c>
      <c r="K62" s="1">
        <f>IF(J62=Legend!$A$67,Legend!$B$67,(IF(J62=Legend!$A$68,Legend!$B$68,IF(J62=Legend!$A$69, Legend!$B$69, IF(J62=Legend!$A$70, Legend!$B$70, IF(J62=Legend!$A$71, Legend!$B$71, IF(J62=Legend!$A$72, Legend!$B$72, IF(J62=Legend!$A$73, Legend!$B$73, (IF(J62=Legend!$A$74, Legend!$B$74, IF(J62=Legend!$A$75, Legend!$B$75, "")))))))))))</f>
        <v>25</v>
      </c>
      <c r="L62" s="17">
        <v>25</v>
      </c>
      <c r="M62" s="17">
        <v>1</v>
      </c>
      <c r="N62" s="17" t="s">
        <v>44</v>
      </c>
      <c r="O62" s="17"/>
    </row>
    <row r="63" spans="1:15" ht="21" customHeight="1" x14ac:dyDescent="0.45">
      <c r="A63" s="16">
        <v>45575</v>
      </c>
      <c r="B63" s="17" t="s">
        <v>12</v>
      </c>
      <c r="C63" s="17" t="s">
        <v>60</v>
      </c>
      <c r="D63" s="17">
        <v>1</v>
      </c>
      <c r="E63" s="17">
        <v>2</v>
      </c>
      <c r="F63" s="17">
        <v>1</v>
      </c>
      <c r="G63" s="16">
        <v>45705</v>
      </c>
      <c r="H63" s="17" t="s">
        <v>82</v>
      </c>
      <c r="I63" s="17">
        <v>5</v>
      </c>
      <c r="J63" s="17" t="s">
        <v>35</v>
      </c>
      <c r="K63" s="1">
        <f>IF(J63=Legend!$A$67,Legend!$B$67,(IF(J63=Legend!$A$68,Legend!$B$68,IF(J63=Legend!$A$69, Legend!$B$69, IF(J63=Legend!$A$70, Legend!$B$70, IF(J63=Legend!$A$71, Legend!$B$71, IF(J63=Legend!$A$72, Legend!$B$72, IF(J63=Legend!$A$73, Legend!$B$73, (IF(J63=Legend!$A$74, Legend!$B$74, IF(J63=Legend!$A$75, Legend!$B$75, "")))))))))))</f>
        <v>120</v>
      </c>
      <c r="L63" s="17">
        <v>120</v>
      </c>
      <c r="M63" s="17">
        <v>0</v>
      </c>
      <c r="N63" s="17"/>
      <c r="O63" s="17"/>
    </row>
    <row r="64" spans="1:15" ht="21" customHeight="1" x14ac:dyDescent="0.45">
      <c r="A64" s="16">
        <v>45575</v>
      </c>
      <c r="B64" s="17" t="s">
        <v>12</v>
      </c>
      <c r="C64" s="17" t="s">
        <v>60</v>
      </c>
      <c r="D64" s="17">
        <v>1</v>
      </c>
      <c r="E64" s="17">
        <v>10</v>
      </c>
      <c r="F64" s="17">
        <v>2</v>
      </c>
      <c r="G64" s="16">
        <v>45705</v>
      </c>
      <c r="H64" s="17" t="s">
        <v>82</v>
      </c>
      <c r="I64" s="17">
        <v>5</v>
      </c>
      <c r="J64" s="17" t="s">
        <v>33</v>
      </c>
      <c r="K64" s="1">
        <f>IF(J64=Legend!$A$67,Legend!$B$67,(IF(J64=Legend!$A$68,Legend!$B$68,IF(J64=Legend!$A$69, Legend!$B$69, IF(J64=Legend!$A$70, Legend!$B$70, IF(J64=Legend!$A$71, Legend!$B$71, IF(J64=Legend!$A$72, Legend!$B$72, IF(J64=Legend!$A$73, Legend!$B$73, (IF(J64=Legend!$A$74, Legend!$B$74, IF(J64=Legend!$A$75, Legend!$B$75, "")))))))))))</f>
        <v>25</v>
      </c>
      <c r="L64" s="17">
        <v>25</v>
      </c>
      <c r="M64" s="17">
        <v>0</v>
      </c>
      <c r="N64" s="17"/>
      <c r="O64" s="17"/>
    </row>
    <row r="65" spans="1:15" ht="21" customHeight="1" x14ac:dyDescent="0.45">
      <c r="A65" s="16">
        <v>45575</v>
      </c>
      <c r="B65" s="17" t="s">
        <v>12</v>
      </c>
      <c r="C65" s="17" t="s">
        <v>60</v>
      </c>
      <c r="D65" s="17">
        <v>1</v>
      </c>
      <c r="E65" s="17">
        <v>10</v>
      </c>
      <c r="F65" s="17">
        <v>2</v>
      </c>
      <c r="G65" s="16">
        <v>45705</v>
      </c>
      <c r="H65" s="17" t="s">
        <v>82</v>
      </c>
      <c r="I65" s="17">
        <v>5</v>
      </c>
      <c r="J65" s="17" t="s">
        <v>35</v>
      </c>
      <c r="K65" s="1">
        <f>IF(J65=Legend!$A$67,Legend!$B$67,(IF(J65=Legend!$A$68,Legend!$B$68,IF(J65=Legend!$A$69, Legend!$B$69, IF(J65=Legend!$A$70, Legend!$B$70, IF(J65=Legend!$A$71, Legend!$B$71, IF(J65=Legend!$A$72, Legend!$B$72, IF(J65=Legend!$A$73, Legend!$B$73, (IF(J65=Legend!$A$74, Legend!$B$74, IF(J65=Legend!$A$75, Legend!$B$75, "")))))))))))</f>
        <v>120</v>
      </c>
      <c r="L65" s="17">
        <v>119</v>
      </c>
      <c r="M65" s="17">
        <v>0</v>
      </c>
      <c r="N65" s="17"/>
      <c r="O65" s="17"/>
    </row>
    <row r="66" spans="1:15" ht="21" customHeight="1" x14ac:dyDescent="0.45">
      <c r="A66" s="16">
        <v>45575</v>
      </c>
      <c r="B66" s="17" t="s">
        <v>12</v>
      </c>
      <c r="C66" s="17" t="s">
        <v>60</v>
      </c>
      <c r="D66" s="17">
        <v>1</v>
      </c>
      <c r="E66" s="17">
        <v>5</v>
      </c>
      <c r="F66" s="17">
        <v>2</v>
      </c>
      <c r="G66" s="16">
        <v>45705</v>
      </c>
      <c r="H66" s="17" t="s">
        <v>82</v>
      </c>
      <c r="I66" s="17">
        <v>5</v>
      </c>
      <c r="J66" s="17" t="s">
        <v>33</v>
      </c>
      <c r="K66" s="1">
        <f>IF(J66=Legend!$A$67,Legend!$B$67,(IF(J66=Legend!$A$68,Legend!$B$68,IF(J66=Legend!$A$69, Legend!$B$69, IF(J66=Legend!$A$70, Legend!$B$70, IF(J66=Legend!$A$71, Legend!$B$71, IF(J66=Legend!$A$72, Legend!$B$72, IF(J66=Legend!$A$73, Legend!$B$73, (IF(J66=Legend!$A$74, Legend!$B$74, IF(J66=Legend!$A$75, Legend!$B$75, "")))))))))))</f>
        <v>25</v>
      </c>
      <c r="L66" s="17">
        <v>25</v>
      </c>
      <c r="M66" s="17">
        <v>0</v>
      </c>
      <c r="N66" s="17"/>
      <c r="O66" s="17"/>
    </row>
    <row r="67" spans="1:15" ht="21" customHeight="1" x14ac:dyDescent="0.45">
      <c r="A67" s="16">
        <v>45575</v>
      </c>
      <c r="B67" s="17" t="s">
        <v>12</v>
      </c>
      <c r="C67" s="17" t="s">
        <v>60</v>
      </c>
      <c r="D67" s="17">
        <v>1</v>
      </c>
      <c r="E67" s="17">
        <v>5</v>
      </c>
      <c r="F67" s="17">
        <v>2</v>
      </c>
      <c r="G67" s="16">
        <v>45705</v>
      </c>
      <c r="H67" s="17" t="s">
        <v>82</v>
      </c>
      <c r="I67" s="17">
        <v>5</v>
      </c>
      <c r="J67" s="17" t="s">
        <v>35</v>
      </c>
      <c r="K67" s="1">
        <f>IF(J67=Legend!$A$67,Legend!$B$67,(IF(J67=Legend!$A$68,Legend!$B$68,IF(J67=Legend!$A$69, Legend!$B$69, IF(J67=Legend!$A$70, Legend!$B$70, IF(J67=Legend!$A$71, Legend!$B$71, IF(J67=Legend!$A$72, Legend!$B$72, IF(J67=Legend!$A$73, Legend!$B$73, (IF(J67=Legend!$A$74, Legend!$B$74, IF(J67=Legend!$A$75, Legend!$B$75, "")))))))))))</f>
        <v>120</v>
      </c>
      <c r="L67" s="17">
        <v>124</v>
      </c>
      <c r="M67" s="17">
        <v>3</v>
      </c>
      <c r="N67" s="17" t="s">
        <v>44</v>
      </c>
      <c r="O67" s="17"/>
    </row>
    <row r="68" spans="1:15" ht="21" customHeight="1" x14ac:dyDescent="0.45">
      <c r="A68" s="16">
        <v>45575</v>
      </c>
      <c r="B68" s="17" t="s">
        <v>12</v>
      </c>
      <c r="C68" s="17" t="s">
        <v>60</v>
      </c>
      <c r="D68" s="17">
        <v>1</v>
      </c>
      <c r="E68" s="17">
        <v>8</v>
      </c>
      <c r="F68" s="17">
        <v>1</v>
      </c>
      <c r="G68" s="16">
        <v>45705</v>
      </c>
      <c r="H68" s="17" t="s">
        <v>82</v>
      </c>
      <c r="I68" s="17">
        <v>5</v>
      </c>
      <c r="J68" s="17" t="s">
        <v>33</v>
      </c>
      <c r="K68" s="1">
        <f>IF(J68=Legend!$A$67,Legend!$B$67,(IF(J68=Legend!$A$68,Legend!$B$68,IF(J68=Legend!$A$69, Legend!$B$69, IF(J68=Legend!$A$70, Legend!$B$70, IF(J68=Legend!$A$71, Legend!$B$71, IF(J68=Legend!$A$72, Legend!$B$72, IF(J68=Legend!$A$73, Legend!$B$73, (IF(J68=Legend!$A$74, Legend!$B$74, IF(J68=Legend!$A$75, Legend!$B$75, "")))))))))))</f>
        <v>25</v>
      </c>
      <c r="L68" s="17">
        <v>25</v>
      </c>
      <c r="M68" s="17">
        <v>0</v>
      </c>
      <c r="N68" s="17"/>
      <c r="O68" s="17"/>
    </row>
    <row r="69" spans="1:15" ht="21" customHeight="1" x14ac:dyDescent="0.45">
      <c r="A69" s="16">
        <v>45575</v>
      </c>
      <c r="B69" s="17" t="s">
        <v>12</v>
      </c>
      <c r="C69" s="17" t="s">
        <v>60</v>
      </c>
      <c r="D69" s="17">
        <v>1</v>
      </c>
      <c r="E69" s="17">
        <v>8</v>
      </c>
      <c r="F69" s="17">
        <v>1</v>
      </c>
      <c r="G69" s="16">
        <v>45705</v>
      </c>
      <c r="H69" s="17" t="s">
        <v>82</v>
      </c>
      <c r="I69" s="17">
        <v>5</v>
      </c>
      <c r="J69" s="17" t="s">
        <v>35</v>
      </c>
      <c r="K69" s="1">
        <f>IF(J69=Legend!$A$67,Legend!$B$67,(IF(J69=Legend!$A$68,Legend!$B$68,IF(J69=Legend!$A$69, Legend!$B$69, IF(J69=Legend!$A$70, Legend!$B$70, IF(J69=Legend!$A$71, Legend!$B$71, IF(J69=Legend!$A$72, Legend!$B$72, IF(J69=Legend!$A$73, Legend!$B$73, (IF(J69=Legend!$A$74, Legend!$B$74, IF(J69=Legend!$A$75, Legend!$B$75, "")))))))))))</f>
        <v>120</v>
      </c>
      <c r="L69" s="17">
        <v>119</v>
      </c>
      <c r="M69" s="17">
        <v>1</v>
      </c>
      <c r="N69" s="17" t="s">
        <v>45</v>
      </c>
      <c r="O69" s="17"/>
    </row>
    <row r="70" spans="1:15" ht="21" customHeight="1" x14ac:dyDescent="0.45">
      <c r="A70" s="16">
        <v>45575</v>
      </c>
      <c r="B70" s="17" t="s">
        <v>12</v>
      </c>
      <c r="C70" s="17" t="s">
        <v>60</v>
      </c>
      <c r="D70" s="17">
        <v>1</v>
      </c>
      <c r="E70" s="17">
        <v>9</v>
      </c>
      <c r="F70" s="17">
        <v>2</v>
      </c>
      <c r="G70" s="16">
        <v>45705</v>
      </c>
      <c r="H70" s="17" t="s">
        <v>82</v>
      </c>
      <c r="I70" s="17">
        <v>5</v>
      </c>
      <c r="J70" s="17" t="s">
        <v>33</v>
      </c>
      <c r="K70" s="1">
        <f>IF(J70=Legend!$A$67,Legend!$B$67,(IF(J70=Legend!$A$68,Legend!$B$68,IF(J70=Legend!$A$69, Legend!$B$69, IF(J70=Legend!$A$70, Legend!$B$70, IF(J70=Legend!$A$71, Legend!$B$71, IF(J70=Legend!$A$72, Legend!$B$72, IF(J70=Legend!$A$73, Legend!$B$73, (IF(J70=Legend!$A$74, Legend!$B$74, IF(J70=Legend!$A$75, Legend!$B$75, "")))))))))))</f>
        <v>25</v>
      </c>
      <c r="L70" s="17">
        <v>25</v>
      </c>
      <c r="M70" s="17">
        <v>1</v>
      </c>
      <c r="N70" s="17" t="s">
        <v>45</v>
      </c>
      <c r="O70" s="17"/>
    </row>
    <row r="71" spans="1:15" ht="21" customHeight="1" x14ac:dyDescent="0.45">
      <c r="A71" s="16">
        <v>45575</v>
      </c>
      <c r="B71" s="17" t="s">
        <v>12</v>
      </c>
      <c r="C71" s="17" t="s">
        <v>60</v>
      </c>
      <c r="D71" s="17">
        <v>1</v>
      </c>
      <c r="E71" s="17">
        <v>9</v>
      </c>
      <c r="F71" s="17">
        <v>2</v>
      </c>
      <c r="G71" s="16">
        <v>45705</v>
      </c>
      <c r="H71" s="17" t="s">
        <v>82</v>
      </c>
      <c r="I71" s="17">
        <v>5</v>
      </c>
      <c r="J71" s="17" t="s">
        <v>35</v>
      </c>
      <c r="K71" s="1">
        <f>IF(J71=Legend!$A$67,Legend!$B$67,(IF(J71=Legend!$A$68,Legend!$B$68,IF(J71=Legend!$A$69, Legend!$B$69, IF(J71=Legend!$A$70, Legend!$B$70, IF(J71=Legend!$A$71, Legend!$B$71, IF(J71=Legend!$A$72, Legend!$B$72, IF(J71=Legend!$A$73, Legend!$B$73, (IF(J71=Legend!$A$74, Legend!$B$74, IF(J71=Legend!$A$75, Legend!$B$75, "")))))))))))</f>
        <v>120</v>
      </c>
      <c r="L71" s="17">
        <v>118</v>
      </c>
      <c r="M71" s="17">
        <v>0</v>
      </c>
      <c r="N71" s="17"/>
      <c r="O71" s="17"/>
    </row>
    <row r="72" spans="1:15" ht="21" customHeight="1" x14ac:dyDescent="0.45">
      <c r="A72" s="16">
        <v>45582</v>
      </c>
      <c r="B72" s="17" t="s">
        <v>12</v>
      </c>
      <c r="C72" s="17" t="s">
        <v>80</v>
      </c>
      <c r="D72" s="17">
        <v>2</v>
      </c>
      <c r="E72" s="17">
        <v>3</v>
      </c>
      <c r="F72" s="17">
        <v>1</v>
      </c>
      <c r="G72" s="16">
        <v>45705</v>
      </c>
      <c r="H72" s="17" t="s">
        <v>82</v>
      </c>
      <c r="I72" s="17">
        <v>5</v>
      </c>
      <c r="J72" s="17" t="s">
        <v>33</v>
      </c>
      <c r="K72" s="1">
        <f>IF(J72=Legend!$A$67,Legend!$B$67,(IF(J72=Legend!$A$68,Legend!$B$68,IF(J72=Legend!$A$69, Legend!$B$69, IF(J72=Legend!$A$70, Legend!$B$70, IF(J72=Legend!$A$71, Legend!$B$71, IF(J72=Legend!$A$72, Legend!$B$72, IF(J72=Legend!$A$73, Legend!$B$73, (IF(J72=Legend!$A$74, Legend!$B$74, IF(J72=Legend!$A$75, Legend!$B$75, "")))))))))))</f>
        <v>25</v>
      </c>
      <c r="L72" s="17">
        <v>25</v>
      </c>
      <c r="M72" s="17">
        <v>1</v>
      </c>
      <c r="N72" s="17" t="s">
        <v>44</v>
      </c>
      <c r="O72" s="17"/>
    </row>
    <row r="73" spans="1:15" ht="21" customHeight="1" x14ac:dyDescent="0.45">
      <c r="A73" s="16">
        <v>45582</v>
      </c>
      <c r="B73" s="17" t="s">
        <v>12</v>
      </c>
      <c r="C73" s="17" t="s">
        <v>80</v>
      </c>
      <c r="D73" s="17">
        <v>2</v>
      </c>
      <c r="E73" s="17">
        <v>3</v>
      </c>
      <c r="F73" s="17">
        <v>1</v>
      </c>
      <c r="G73" s="16">
        <v>45705</v>
      </c>
      <c r="H73" s="17" t="s">
        <v>82</v>
      </c>
      <c r="I73" s="17">
        <v>5</v>
      </c>
      <c r="J73" s="17" t="s">
        <v>35</v>
      </c>
      <c r="K73" s="1">
        <f>IF(J73=Legend!$A$67,Legend!$B$67,(IF(J73=Legend!$A$68,Legend!$B$68,IF(J73=Legend!$A$69, Legend!$B$69, IF(J73=Legend!$A$70, Legend!$B$70, IF(J73=Legend!$A$71, Legend!$B$71, IF(J73=Legend!$A$72, Legend!$B$72, IF(J73=Legend!$A$73, Legend!$B$73, (IF(J73=Legend!$A$74, Legend!$B$74, IF(J73=Legend!$A$75, Legend!$B$75, "")))))))))))</f>
        <v>120</v>
      </c>
      <c r="L73" s="17">
        <v>121</v>
      </c>
      <c r="M73" s="17">
        <v>0</v>
      </c>
      <c r="N73" s="17"/>
      <c r="O73" s="17"/>
    </row>
    <row r="74" spans="1:15" ht="21" customHeight="1" x14ac:dyDescent="0.45">
      <c r="A74" s="16">
        <v>45575</v>
      </c>
      <c r="B74" s="17" t="s">
        <v>12</v>
      </c>
      <c r="C74" s="17" t="s">
        <v>60</v>
      </c>
      <c r="D74" s="17">
        <v>1</v>
      </c>
      <c r="E74" s="17">
        <v>3</v>
      </c>
      <c r="F74" s="17">
        <v>1</v>
      </c>
      <c r="G74" s="16">
        <v>45705</v>
      </c>
      <c r="H74" s="17" t="s">
        <v>82</v>
      </c>
      <c r="I74" s="17">
        <v>5</v>
      </c>
      <c r="J74" s="17" t="s">
        <v>33</v>
      </c>
      <c r="K74" s="1">
        <f>IF(J74=Legend!$A$67,Legend!$B$67,(IF(J74=Legend!$A$68,Legend!$B$68,IF(J74=Legend!$A$69, Legend!$B$69, IF(J74=Legend!$A$70, Legend!$B$70, IF(J74=Legend!$A$71, Legend!$B$71, IF(J74=Legend!$A$72, Legend!$B$72, IF(J74=Legend!$A$73, Legend!$B$73, (IF(J74=Legend!$A$74, Legend!$B$74, IF(J74=Legend!$A$75, Legend!$B$75, "")))))))))))</f>
        <v>25</v>
      </c>
      <c r="L74" s="17">
        <v>25</v>
      </c>
      <c r="M74" s="17">
        <v>0</v>
      </c>
      <c r="N74" s="17"/>
      <c r="O74" s="17"/>
    </row>
    <row r="75" spans="1:15" ht="21" customHeight="1" x14ac:dyDescent="0.45">
      <c r="A75" s="16">
        <v>45575</v>
      </c>
      <c r="B75" s="17" t="s">
        <v>12</v>
      </c>
      <c r="C75" s="17" t="s">
        <v>60</v>
      </c>
      <c r="D75" s="17">
        <v>1</v>
      </c>
      <c r="E75" s="17">
        <v>3</v>
      </c>
      <c r="F75" s="17">
        <v>1</v>
      </c>
      <c r="G75" s="16">
        <v>45705</v>
      </c>
      <c r="H75" s="17" t="s">
        <v>82</v>
      </c>
      <c r="I75" s="17">
        <v>5</v>
      </c>
      <c r="J75" s="17" t="s">
        <v>35</v>
      </c>
      <c r="K75" s="1">
        <f>IF(J75=Legend!$A$67,Legend!$B$67,(IF(J75=Legend!$A$68,Legend!$B$68,IF(J75=Legend!$A$69, Legend!$B$69, IF(J75=Legend!$A$70, Legend!$B$70, IF(J75=Legend!$A$71, Legend!$B$71, IF(J75=Legend!$A$72, Legend!$B$72, IF(J75=Legend!$A$73, Legend!$B$73, (IF(J75=Legend!$A$74, Legend!$B$74, IF(J75=Legend!$A$75, Legend!$B$75, "")))))))))))</f>
        <v>120</v>
      </c>
      <c r="L75" s="17">
        <v>120</v>
      </c>
      <c r="M75" s="17">
        <v>1</v>
      </c>
      <c r="N75" s="17" t="s">
        <v>44</v>
      </c>
      <c r="O75" s="17"/>
    </row>
    <row r="76" spans="1:15" ht="21" customHeight="1" x14ac:dyDescent="0.45">
      <c r="A76"/>
      <c r="B76"/>
      <c r="C76"/>
      <c r="D76"/>
      <c r="E76"/>
      <c r="F76"/>
      <c r="G76"/>
      <c r="H76"/>
      <c r="I76"/>
      <c r="J76"/>
      <c r="L76"/>
      <c r="M76"/>
      <c r="N76"/>
      <c r="O76"/>
    </row>
    <row r="77" spans="1:15" ht="21" customHeight="1" x14ac:dyDescent="0.45">
      <c r="A77"/>
      <c r="B77"/>
      <c r="C77"/>
      <c r="D77"/>
      <c r="E77"/>
      <c r="F77"/>
      <c r="G77"/>
      <c r="H77"/>
      <c r="I77"/>
      <c r="J77"/>
      <c r="L77"/>
      <c r="M77"/>
      <c r="N77"/>
      <c r="O77"/>
    </row>
    <row r="78" spans="1:15" ht="21" customHeight="1" x14ac:dyDescent="0.45">
      <c r="A78"/>
      <c r="B78"/>
      <c r="C78"/>
      <c r="D78"/>
      <c r="E78"/>
      <c r="F78"/>
      <c r="G78"/>
      <c r="H78"/>
      <c r="I78"/>
      <c r="J78"/>
      <c r="L78"/>
      <c r="M78"/>
      <c r="N78"/>
      <c r="O78"/>
    </row>
    <row r="79" spans="1:15" ht="21" customHeight="1" x14ac:dyDescent="0.45">
      <c r="A79"/>
      <c r="B79"/>
      <c r="C79"/>
      <c r="D79"/>
      <c r="E79"/>
      <c r="F79"/>
      <c r="G79"/>
      <c r="H79"/>
      <c r="I79"/>
      <c r="J79"/>
      <c r="L79"/>
      <c r="M79"/>
      <c r="N79"/>
      <c r="O79"/>
    </row>
    <row r="80" spans="1:15" ht="21" customHeight="1" x14ac:dyDescent="0.45">
      <c r="A80"/>
      <c r="B80"/>
      <c r="C80"/>
      <c r="D80"/>
      <c r="E80"/>
      <c r="F80"/>
      <c r="G80"/>
      <c r="H80"/>
      <c r="I80"/>
      <c r="J80"/>
      <c r="L80"/>
      <c r="M80"/>
      <c r="N80"/>
      <c r="O80"/>
    </row>
    <row r="81" customFormat="1" ht="21" customHeight="1" x14ac:dyDescent="0.45"/>
    <row r="82" customFormat="1" ht="21" customHeight="1" x14ac:dyDescent="0.45"/>
    <row r="83" customFormat="1" ht="21" customHeight="1" x14ac:dyDescent="0.45"/>
    <row r="84" customFormat="1" ht="21" customHeight="1" x14ac:dyDescent="0.45"/>
    <row r="85" customFormat="1" ht="21" customHeight="1" x14ac:dyDescent="0.45"/>
    <row r="86" customFormat="1" ht="21" customHeight="1" x14ac:dyDescent="0.45"/>
    <row r="87" customFormat="1" ht="21" customHeight="1" x14ac:dyDescent="0.45"/>
    <row r="88" customFormat="1" ht="21" customHeight="1" x14ac:dyDescent="0.45"/>
    <row r="89" customFormat="1" ht="21" customHeight="1" x14ac:dyDescent="0.45"/>
    <row r="90" customFormat="1" ht="21" customHeight="1" x14ac:dyDescent="0.45"/>
    <row r="91" customFormat="1" ht="21" customHeight="1" x14ac:dyDescent="0.45"/>
    <row r="92" customFormat="1" ht="21" customHeight="1" x14ac:dyDescent="0.45"/>
    <row r="93" customFormat="1" ht="21" customHeight="1" x14ac:dyDescent="0.45"/>
    <row r="94" customFormat="1" ht="21" customHeight="1" x14ac:dyDescent="0.45"/>
    <row r="95" customFormat="1" ht="21" customHeight="1" x14ac:dyDescent="0.45"/>
    <row r="96" customFormat="1" ht="21" customHeight="1" x14ac:dyDescent="0.45"/>
    <row r="97" customFormat="1" ht="21" customHeight="1" x14ac:dyDescent="0.45"/>
    <row r="98" customFormat="1" ht="21" customHeight="1" x14ac:dyDescent="0.45"/>
    <row r="99" customFormat="1" ht="21" customHeight="1" x14ac:dyDescent="0.45"/>
    <row r="100" customFormat="1" ht="21" customHeight="1" x14ac:dyDescent="0.45"/>
    <row r="101" customFormat="1" ht="21" customHeight="1" x14ac:dyDescent="0.45"/>
    <row r="102" customFormat="1" ht="21" customHeight="1" x14ac:dyDescent="0.45"/>
    <row r="103" customFormat="1" ht="21" customHeight="1" x14ac:dyDescent="0.45"/>
    <row r="104" customFormat="1" ht="21" customHeight="1" x14ac:dyDescent="0.45"/>
    <row r="105" customFormat="1" ht="21" customHeight="1" x14ac:dyDescent="0.45"/>
    <row r="106" customFormat="1" ht="21" customHeight="1" x14ac:dyDescent="0.45"/>
    <row r="107" customFormat="1" ht="21" customHeight="1" x14ac:dyDescent="0.45"/>
    <row r="108" customFormat="1" ht="21" customHeight="1" x14ac:dyDescent="0.45"/>
    <row r="109" customFormat="1" ht="21" customHeight="1" x14ac:dyDescent="0.45"/>
    <row r="110" customFormat="1" ht="21" customHeight="1" x14ac:dyDescent="0.45"/>
    <row r="111" customFormat="1" ht="21" customHeight="1" x14ac:dyDescent="0.45"/>
    <row r="112" customFormat="1" ht="21" customHeight="1" x14ac:dyDescent="0.45"/>
    <row r="113" customFormat="1" ht="21" customHeight="1" x14ac:dyDescent="0.45"/>
    <row r="114" customFormat="1" ht="21" customHeight="1" x14ac:dyDescent="0.45"/>
    <row r="115" customFormat="1" ht="21" customHeight="1" x14ac:dyDescent="0.45"/>
    <row r="116" customFormat="1" ht="21" customHeight="1" x14ac:dyDescent="0.45"/>
    <row r="117" customFormat="1" ht="21" customHeight="1" x14ac:dyDescent="0.45"/>
    <row r="118" customFormat="1" ht="21" customHeight="1" x14ac:dyDescent="0.45"/>
    <row r="119" customFormat="1" ht="21" customHeight="1" x14ac:dyDescent="0.45"/>
    <row r="120" customFormat="1" ht="21" customHeight="1" x14ac:dyDescent="0.45"/>
    <row r="121" customFormat="1" ht="21" customHeight="1" x14ac:dyDescent="0.45"/>
    <row r="122" customFormat="1" ht="21" customHeight="1" x14ac:dyDescent="0.45"/>
    <row r="123" customFormat="1" ht="21" customHeight="1" x14ac:dyDescent="0.45"/>
    <row r="124" customFormat="1" ht="21" customHeight="1" x14ac:dyDescent="0.45"/>
    <row r="125" customFormat="1" ht="21" customHeight="1" x14ac:dyDescent="0.45"/>
    <row r="126" customFormat="1" ht="21" customHeight="1" x14ac:dyDescent="0.45"/>
    <row r="127" customFormat="1" ht="21" customHeight="1" x14ac:dyDescent="0.45"/>
    <row r="128" customFormat="1" ht="21" customHeight="1" x14ac:dyDescent="0.45"/>
    <row r="129" customFormat="1" ht="21" customHeight="1" x14ac:dyDescent="0.45"/>
    <row r="130" customFormat="1" ht="21" customHeight="1" x14ac:dyDescent="0.45"/>
    <row r="131" customFormat="1" ht="21" customHeight="1" x14ac:dyDescent="0.45"/>
    <row r="132" customFormat="1" ht="21" customHeight="1" x14ac:dyDescent="0.45"/>
    <row r="133" customFormat="1" ht="21" customHeight="1" x14ac:dyDescent="0.45"/>
    <row r="134" customFormat="1" ht="21" customHeight="1" x14ac:dyDescent="0.45"/>
    <row r="135" customFormat="1" ht="21" customHeight="1" x14ac:dyDescent="0.45"/>
    <row r="136" customFormat="1" ht="21" customHeight="1" x14ac:dyDescent="0.45"/>
    <row r="137" customFormat="1" ht="21" customHeight="1" x14ac:dyDescent="0.45"/>
    <row r="138" customFormat="1" ht="21" customHeight="1" x14ac:dyDescent="0.45"/>
    <row r="139" customFormat="1" ht="21" customHeight="1" x14ac:dyDescent="0.45"/>
    <row r="140" customFormat="1" ht="21" customHeight="1" x14ac:dyDescent="0.45"/>
    <row r="141" customFormat="1" ht="21" customHeight="1" x14ac:dyDescent="0.45"/>
    <row r="142" customFormat="1" ht="21" customHeight="1" x14ac:dyDescent="0.45"/>
    <row r="143" customFormat="1" ht="21" customHeight="1" x14ac:dyDescent="0.45"/>
    <row r="144" customFormat="1" ht="21" customHeight="1" x14ac:dyDescent="0.45"/>
    <row r="145" customFormat="1" ht="21" customHeight="1" x14ac:dyDescent="0.45"/>
    <row r="146" customFormat="1" ht="21" customHeight="1" x14ac:dyDescent="0.45"/>
    <row r="147" customFormat="1" ht="21" customHeight="1" x14ac:dyDescent="0.45"/>
    <row r="148" customFormat="1" ht="21" customHeight="1" x14ac:dyDescent="0.45"/>
    <row r="149" customFormat="1" ht="21" customHeight="1" x14ac:dyDescent="0.45"/>
    <row r="150" customFormat="1" ht="21" customHeight="1" x14ac:dyDescent="0.45"/>
    <row r="151" customFormat="1" ht="21" customHeight="1" x14ac:dyDescent="0.45"/>
    <row r="152" customFormat="1" ht="21" customHeight="1" x14ac:dyDescent="0.45"/>
    <row r="153" customFormat="1" ht="21" customHeight="1" x14ac:dyDescent="0.45"/>
    <row r="154" customFormat="1" ht="21" customHeight="1" x14ac:dyDescent="0.45"/>
    <row r="155" customFormat="1" ht="21" customHeight="1" x14ac:dyDescent="0.45"/>
    <row r="156" customFormat="1" ht="21" customHeight="1" x14ac:dyDescent="0.45"/>
    <row r="157" customFormat="1" ht="21" customHeight="1" x14ac:dyDescent="0.45"/>
    <row r="158" customFormat="1" ht="21" customHeight="1" x14ac:dyDescent="0.45"/>
    <row r="159" customFormat="1" ht="21" customHeight="1" x14ac:dyDescent="0.45"/>
    <row r="160" customFormat="1" ht="21" customHeight="1" x14ac:dyDescent="0.45"/>
    <row r="161" customFormat="1" ht="21" customHeight="1" x14ac:dyDescent="0.45"/>
    <row r="162" customFormat="1" ht="21" customHeight="1" x14ac:dyDescent="0.45"/>
    <row r="163" customFormat="1" ht="21" customHeight="1" x14ac:dyDescent="0.45"/>
    <row r="164" customFormat="1" ht="21" customHeight="1" x14ac:dyDescent="0.45"/>
    <row r="165" customFormat="1" ht="21" customHeight="1" x14ac:dyDescent="0.45"/>
    <row r="166" customFormat="1" ht="21" customHeight="1" x14ac:dyDescent="0.45"/>
    <row r="167" customFormat="1" ht="21" customHeight="1" x14ac:dyDescent="0.45"/>
    <row r="168" customFormat="1" ht="21" customHeight="1" x14ac:dyDescent="0.45"/>
    <row r="169" customFormat="1" ht="21" customHeight="1" x14ac:dyDescent="0.45"/>
    <row r="170" customFormat="1" ht="21" customHeight="1" x14ac:dyDescent="0.45"/>
    <row r="171" customFormat="1" ht="21" customHeight="1" x14ac:dyDescent="0.45"/>
    <row r="172" customFormat="1" ht="21" customHeight="1" x14ac:dyDescent="0.45"/>
    <row r="173" customFormat="1" ht="21" customHeight="1" x14ac:dyDescent="0.45"/>
    <row r="174" customFormat="1" ht="21" customHeight="1" x14ac:dyDescent="0.45"/>
    <row r="175" customFormat="1" ht="21" customHeigh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</sheetData>
  <sheetProtection selectLockedCells="1"/>
  <dataValidations count="2">
    <dataValidation type="whole" operator="lessThanOrEqual" allowBlank="1" showInputMessage="1" showErrorMessage="1" sqref="L2" xr:uid="{942CD6BD-A619-4D6C-A503-31B51E2B2658}">
      <formula1>K2</formula1>
    </dataValidation>
    <dataValidation type="whole" operator="lessThanOrEqual" allowBlank="1" showInputMessage="1" showErrorMessage="1" sqref="M2" xr:uid="{065192B1-80C1-4FEF-A447-1BA0F656CBC7}">
      <formula1>K2</formula1>
    </dataValidation>
  </dataValidations>
  <pageMargins left="0.5" right="0.25" top="0.25" bottom="0.25" header="0" footer="0"/>
  <pageSetup paperSize="9" scale="6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EA98108-4285-4121-A3CA-84350FA8A006}">
          <x14:formula1>
            <xm:f>Legend!$A$59:$A$64</xm:f>
          </x14:formula1>
          <xm:sqref>I2:I11 I36:I50 I52:I1048576</xm:sqref>
        </x14:dataValidation>
        <x14:dataValidation type="list" allowBlank="1" showInputMessage="1" showErrorMessage="1" xr:uid="{93AF4BB5-C7D6-4AC0-9D96-70B06DDB94E6}">
          <x14:formula1>
            <xm:f>Legend!$A$12:$A$19</xm:f>
          </x14:formula1>
          <xm:sqref>B2:B11 B36:B50 B52:B1048576</xm:sqref>
        </x14:dataValidation>
        <x14:dataValidation type="list" allowBlank="1" showInputMessage="1" showErrorMessage="1" xr:uid="{FAC07777-6EAE-4539-9F57-74FD7CA1950D}">
          <x14:formula1>
            <xm:f>Legend!$A$67:$A$75</xm:f>
          </x14:formula1>
          <xm:sqref>J2:J11 J36:J1048576</xm:sqref>
        </x14:dataValidation>
        <x14:dataValidation type="list" allowBlank="1" showInputMessage="1" showErrorMessage="1" xr:uid="{F6680C1A-1FFD-4913-BF3A-83EAE4B1ACE0}">
          <x14:formula1>
            <xm:f>Legend!$A$85:$A$87</xm:f>
          </x14:formula1>
          <xm:sqref>N2:N1048576</xm:sqref>
        </x14:dataValidation>
        <x14:dataValidation type="list" allowBlank="1" showInputMessage="1" showErrorMessage="1" xr:uid="{3FA337B6-E696-4882-A67D-8B3975ABF70B}">
          <x14:formula1>
            <xm:f>Legend!$A$34:$A$36</xm:f>
          </x14:formula1>
          <xm:sqref>D2:D11 D36:D50 D52:D1048576</xm:sqref>
        </x14:dataValidation>
        <x14:dataValidation type="list" allowBlank="1" showInputMessage="1" showErrorMessage="1" xr:uid="{2BCABB39-7584-4409-AD4A-D433762BFA89}">
          <x14:formula1>
            <xm:f>Legend!$A$51:$A$52</xm:f>
          </x14:formula1>
          <xm:sqref>F2:F11 F36:F50 F52:F1048576</xm:sqref>
        </x14:dataValidation>
        <x14:dataValidation type="list" allowBlank="1" showInputMessage="1" showErrorMessage="1" xr:uid="{76CDEDFB-8EEC-487B-9F0C-D92D2819C4F7}">
          <x14:formula1>
            <xm:f>Legend!$A$39:$A$48</xm:f>
          </x14:formula1>
          <xm:sqref>E1:E11 E36:E50 E52:E1048576</xm:sqref>
        </x14:dataValidation>
        <x14:dataValidation type="list" allowBlank="1" showInputMessage="1" showErrorMessage="1" xr:uid="{F51C3A10-352A-43F4-8B5B-9208E6E108BE}">
          <x14:formula1>
            <xm:f>Legend!$A$22:$A$32</xm:f>
          </x14:formula1>
          <xm:sqref>C2:C11 C36:C50 C52:C1048576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4350-E264-4EE7-8DCA-EAC451DBA833}">
  <sheetPr>
    <pageSetUpPr fitToPage="1"/>
  </sheetPr>
  <dimension ref="A1:C93"/>
  <sheetViews>
    <sheetView zoomScale="70" workbookViewId="0">
      <selection activeCell="B30" sqref="B30"/>
    </sheetView>
  </sheetViews>
  <sheetFormatPr baseColWidth="10" defaultColWidth="9.1328125" defaultRowHeight="14.25" x14ac:dyDescent="0.45"/>
  <cols>
    <col min="1" max="1" width="20" bestFit="1" customWidth="1"/>
    <col min="2" max="2" width="89.46484375" customWidth="1"/>
    <col min="3" max="3" width="17.1328125" bestFit="1" customWidth="1"/>
  </cols>
  <sheetData>
    <row r="1" spans="1:3" ht="23" customHeight="1" x14ac:dyDescent="0.45">
      <c r="A1" s="32" t="s">
        <v>69</v>
      </c>
      <c r="B1" s="32"/>
      <c r="C1" s="32"/>
    </row>
    <row r="2" spans="1:3" ht="23" customHeight="1" x14ac:dyDescent="0.45">
      <c r="A2" s="15"/>
      <c r="B2" s="15"/>
      <c r="C2" s="15"/>
    </row>
    <row r="3" spans="1:3" ht="23" customHeight="1" x14ac:dyDescent="0.45">
      <c r="A3" s="7" t="s">
        <v>71</v>
      </c>
      <c r="B3" s="7"/>
      <c r="C3" s="23"/>
    </row>
    <row r="4" spans="1:3" ht="23" customHeight="1" x14ac:dyDescent="0.45">
      <c r="A4" s="33" t="s">
        <v>75</v>
      </c>
      <c r="B4" s="33"/>
      <c r="C4" s="33"/>
    </row>
    <row r="5" spans="1:3" ht="28.05" customHeight="1" x14ac:dyDescent="0.45">
      <c r="A5" s="33" t="s">
        <v>77</v>
      </c>
      <c r="B5" s="33"/>
      <c r="C5" s="33"/>
    </row>
    <row r="6" spans="1:3" ht="25.05" customHeight="1" x14ac:dyDescent="0.45">
      <c r="A6" s="33" t="s">
        <v>78</v>
      </c>
      <c r="B6" s="33"/>
      <c r="C6" s="33"/>
    </row>
    <row r="7" spans="1:3" ht="24.5" customHeight="1" x14ac:dyDescent="0.45">
      <c r="A7" s="33" t="s">
        <v>76</v>
      </c>
      <c r="B7" s="33"/>
      <c r="C7" s="33"/>
    </row>
    <row r="8" spans="1:3" ht="18" x14ac:dyDescent="0.45">
      <c r="A8" s="22"/>
      <c r="B8" s="22"/>
      <c r="C8" s="22"/>
    </row>
    <row r="9" spans="1:3" ht="18" x14ac:dyDescent="0.55000000000000004">
      <c r="A9" s="2" t="s">
        <v>0</v>
      </c>
      <c r="B9" s="3" t="s">
        <v>11</v>
      </c>
      <c r="C9" s="3"/>
    </row>
    <row r="10" spans="1:3" ht="18" x14ac:dyDescent="0.55000000000000004">
      <c r="A10" s="4"/>
      <c r="B10" s="4"/>
      <c r="C10" s="4"/>
    </row>
    <row r="11" spans="1:3" ht="18" x14ac:dyDescent="0.55000000000000004">
      <c r="A11" s="5" t="s">
        <v>1</v>
      </c>
      <c r="B11" s="3"/>
      <c r="C11" s="3"/>
    </row>
    <row r="12" spans="1:3" ht="18" x14ac:dyDescent="0.55000000000000004">
      <c r="A12" s="4" t="s">
        <v>12</v>
      </c>
      <c r="B12" s="6" t="s">
        <v>20</v>
      </c>
      <c r="C12" s="4"/>
    </row>
    <row r="13" spans="1:3" ht="18" x14ac:dyDescent="0.55000000000000004">
      <c r="A13" s="4" t="s">
        <v>13</v>
      </c>
      <c r="B13" s="6" t="s">
        <v>51</v>
      </c>
      <c r="C13" s="4"/>
    </row>
    <row r="14" spans="1:3" ht="18" x14ac:dyDescent="0.55000000000000004">
      <c r="A14" s="4" t="s">
        <v>14</v>
      </c>
      <c r="B14" s="6" t="s">
        <v>21</v>
      </c>
      <c r="C14" s="4"/>
    </row>
    <row r="15" spans="1:3" ht="18" x14ac:dyDescent="0.55000000000000004">
      <c r="A15" s="4" t="s">
        <v>15</v>
      </c>
      <c r="B15" s="6" t="s">
        <v>22</v>
      </c>
      <c r="C15" s="4"/>
    </row>
    <row r="16" spans="1:3" ht="18" x14ac:dyDescent="0.55000000000000004">
      <c r="A16" s="4" t="s">
        <v>16</v>
      </c>
      <c r="B16" s="6" t="s">
        <v>23</v>
      </c>
      <c r="C16" s="4"/>
    </row>
    <row r="17" spans="1:3" ht="18" x14ac:dyDescent="0.55000000000000004">
      <c r="A17" s="4" t="s">
        <v>17</v>
      </c>
      <c r="B17" s="6" t="s">
        <v>24</v>
      </c>
      <c r="C17" s="4"/>
    </row>
    <row r="18" spans="1:3" ht="18" x14ac:dyDescent="0.55000000000000004">
      <c r="A18" s="4" t="s">
        <v>18</v>
      </c>
      <c r="B18" s="6" t="s">
        <v>25</v>
      </c>
      <c r="C18" s="4"/>
    </row>
    <row r="19" spans="1:3" ht="18" x14ac:dyDescent="0.55000000000000004">
      <c r="A19" s="4" t="s">
        <v>19</v>
      </c>
      <c r="B19" s="6" t="s">
        <v>26</v>
      </c>
      <c r="C19" s="4"/>
    </row>
    <row r="20" spans="1:3" ht="18" x14ac:dyDescent="0.55000000000000004">
      <c r="A20" s="4"/>
      <c r="B20" s="6"/>
      <c r="C20" s="4"/>
    </row>
    <row r="21" spans="1:3" ht="18" x14ac:dyDescent="0.55000000000000004">
      <c r="A21" s="5" t="s">
        <v>50</v>
      </c>
      <c r="B21" s="7" t="s">
        <v>53</v>
      </c>
      <c r="C21" s="3"/>
    </row>
    <row r="22" spans="1:3" ht="18" x14ac:dyDescent="0.55000000000000004">
      <c r="A22" s="4" t="s">
        <v>54</v>
      </c>
      <c r="B22" s="6"/>
      <c r="C22" s="4"/>
    </row>
    <row r="23" spans="1:3" ht="18" x14ac:dyDescent="0.55000000000000004">
      <c r="A23" s="4" t="s">
        <v>55</v>
      </c>
      <c r="B23" s="6"/>
      <c r="C23" s="4"/>
    </row>
    <row r="24" spans="1:3" ht="18" x14ac:dyDescent="0.55000000000000004">
      <c r="A24" s="4" t="s">
        <v>56</v>
      </c>
      <c r="B24" s="6"/>
      <c r="C24" s="4"/>
    </row>
    <row r="25" spans="1:3" ht="18" x14ac:dyDescent="0.55000000000000004">
      <c r="A25" s="4" t="s">
        <v>57</v>
      </c>
      <c r="B25" s="4"/>
      <c r="C25" s="4"/>
    </row>
    <row r="26" spans="1:3" ht="18" x14ac:dyDescent="0.55000000000000004">
      <c r="A26" s="4" t="s">
        <v>58</v>
      </c>
      <c r="B26" s="4"/>
      <c r="C26" s="4"/>
    </row>
    <row r="27" spans="1:3" ht="18" x14ac:dyDescent="0.55000000000000004">
      <c r="A27" s="4" t="s">
        <v>59</v>
      </c>
      <c r="B27" s="4"/>
      <c r="C27" s="4"/>
    </row>
    <row r="28" spans="1:3" ht="18" x14ac:dyDescent="0.55000000000000004">
      <c r="A28" s="4" t="s">
        <v>60</v>
      </c>
      <c r="B28" s="4"/>
      <c r="C28" s="4"/>
    </row>
    <row r="29" spans="1:3" ht="18" x14ac:dyDescent="0.55000000000000004">
      <c r="A29" s="4" t="s">
        <v>61</v>
      </c>
      <c r="B29" s="4"/>
      <c r="C29" s="4"/>
    </row>
    <row r="30" spans="1:3" ht="18" x14ac:dyDescent="0.55000000000000004">
      <c r="A30" s="4" t="s">
        <v>62</v>
      </c>
      <c r="B30" s="4" t="s">
        <v>70</v>
      </c>
      <c r="C30" s="4"/>
    </row>
    <row r="31" spans="1:3" ht="18" x14ac:dyDescent="0.55000000000000004">
      <c r="A31" s="4" t="s">
        <v>80</v>
      </c>
      <c r="B31" s="4"/>
      <c r="C31" s="4"/>
    </row>
    <row r="32" spans="1:3" ht="18" x14ac:dyDescent="0.55000000000000004">
      <c r="A32" s="4" t="s">
        <v>81</v>
      </c>
      <c r="B32" s="4"/>
      <c r="C32" s="4"/>
    </row>
    <row r="33" spans="1:3" ht="18" x14ac:dyDescent="0.55000000000000004">
      <c r="A33" s="5" t="s">
        <v>41</v>
      </c>
      <c r="B33" s="7"/>
      <c r="C33" s="3"/>
    </row>
    <row r="34" spans="1:3" ht="18" x14ac:dyDescent="0.55000000000000004">
      <c r="A34" s="4">
        <v>1</v>
      </c>
      <c r="B34" s="6"/>
      <c r="C34" s="4"/>
    </row>
    <row r="35" spans="1:3" ht="18" x14ac:dyDescent="0.55000000000000004">
      <c r="A35" s="4">
        <v>2</v>
      </c>
      <c r="B35" s="6"/>
      <c r="C35" s="4"/>
    </row>
    <row r="36" spans="1:3" ht="18" x14ac:dyDescent="0.55000000000000004">
      <c r="A36" s="4">
        <v>3</v>
      </c>
      <c r="B36" s="6"/>
      <c r="C36" s="4"/>
    </row>
    <row r="37" spans="1:3" ht="18" x14ac:dyDescent="0.55000000000000004">
      <c r="A37" s="4"/>
      <c r="B37" s="4"/>
      <c r="C37" s="4"/>
    </row>
    <row r="38" spans="1:3" ht="18" x14ac:dyDescent="0.55000000000000004">
      <c r="A38" s="5" t="s">
        <v>27</v>
      </c>
      <c r="B38" s="7" t="s">
        <v>28</v>
      </c>
      <c r="C38" s="3"/>
    </row>
    <row r="39" spans="1:3" ht="18" x14ac:dyDescent="0.55000000000000004">
      <c r="A39" s="4">
        <v>1</v>
      </c>
      <c r="B39" s="6"/>
      <c r="C39" s="4"/>
    </row>
    <row r="40" spans="1:3" ht="18" x14ac:dyDescent="0.55000000000000004">
      <c r="A40" s="4">
        <v>2</v>
      </c>
      <c r="B40" s="6"/>
      <c r="C40" s="4"/>
    </row>
    <row r="41" spans="1:3" ht="18" x14ac:dyDescent="0.55000000000000004">
      <c r="A41" s="4">
        <v>3</v>
      </c>
      <c r="B41" s="6"/>
      <c r="C41" s="4"/>
    </row>
    <row r="42" spans="1:3" ht="18" x14ac:dyDescent="0.55000000000000004">
      <c r="A42" s="4">
        <v>4</v>
      </c>
      <c r="B42" s="6"/>
      <c r="C42" s="4"/>
    </row>
    <row r="43" spans="1:3" ht="18" x14ac:dyDescent="0.55000000000000004">
      <c r="A43" s="4">
        <v>5</v>
      </c>
      <c r="B43" s="6"/>
      <c r="C43" s="4"/>
    </row>
    <row r="44" spans="1:3" ht="18" x14ac:dyDescent="0.55000000000000004">
      <c r="A44" s="4">
        <v>6</v>
      </c>
      <c r="B44" s="6"/>
      <c r="C44" s="4"/>
    </row>
    <row r="45" spans="1:3" ht="18" x14ac:dyDescent="0.55000000000000004">
      <c r="A45" s="4">
        <v>7</v>
      </c>
      <c r="B45" s="6"/>
      <c r="C45" s="4"/>
    </row>
    <row r="46" spans="1:3" ht="18" x14ac:dyDescent="0.55000000000000004">
      <c r="A46" s="4">
        <v>8</v>
      </c>
      <c r="B46" s="6"/>
      <c r="C46" s="4"/>
    </row>
    <row r="47" spans="1:3" ht="18" x14ac:dyDescent="0.55000000000000004">
      <c r="A47" s="4">
        <v>9</v>
      </c>
      <c r="B47" s="6"/>
      <c r="C47" s="4"/>
    </row>
    <row r="48" spans="1:3" ht="18" x14ac:dyDescent="0.55000000000000004">
      <c r="A48" s="4">
        <v>10</v>
      </c>
      <c r="B48" s="6"/>
      <c r="C48" s="4"/>
    </row>
    <row r="49" spans="1:3" ht="18" x14ac:dyDescent="0.55000000000000004">
      <c r="A49" s="8"/>
      <c r="B49" s="6"/>
      <c r="C49" s="4"/>
    </row>
    <row r="50" spans="1:3" ht="18" x14ac:dyDescent="0.55000000000000004">
      <c r="A50" s="5" t="s">
        <v>30</v>
      </c>
      <c r="B50" s="3"/>
      <c r="C50" s="3"/>
    </row>
    <row r="51" spans="1:3" ht="18" x14ac:dyDescent="0.55000000000000004">
      <c r="A51" s="4">
        <v>1</v>
      </c>
      <c r="B51" s="4" t="s">
        <v>31</v>
      </c>
      <c r="C51" s="4"/>
    </row>
    <row r="52" spans="1:3" ht="18" x14ac:dyDescent="0.55000000000000004">
      <c r="A52" s="4">
        <v>2</v>
      </c>
      <c r="B52" s="4" t="s">
        <v>32</v>
      </c>
      <c r="C52" s="4"/>
    </row>
    <row r="53" spans="1:3" ht="18" x14ac:dyDescent="0.55000000000000004">
      <c r="A53" s="4"/>
      <c r="B53" s="4"/>
      <c r="C53" s="4"/>
    </row>
    <row r="54" spans="1:3" ht="18" x14ac:dyDescent="0.55000000000000004">
      <c r="A54" s="2" t="s">
        <v>2</v>
      </c>
      <c r="B54" s="3" t="s">
        <v>11</v>
      </c>
      <c r="C54" s="3"/>
    </row>
    <row r="55" spans="1:3" ht="18" x14ac:dyDescent="0.55000000000000004">
      <c r="A55" s="4"/>
      <c r="B55" s="4"/>
      <c r="C55" s="4"/>
    </row>
    <row r="56" spans="1:3" ht="18" x14ac:dyDescent="0.55000000000000004">
      <c r="A56" s="5" t="s">
        <v>3</v>
      </c>
      <c r="B56" s="7" t="s">
        <v>29</v>
      </c>
      <c r="C56" s="3"/>
    </row>
    <row r="57" spans="1:3" ht="18" x14ac:dyDescent="0.55000000000000004">
      <c r="A57" s="4"/>
      <c r="B57" s="4"/>
      <c r="C57" s="4"/>
    </row>
    <row r="58" spans="1:3" ht="18" x14ac:dyDescent="0.55000000000000004">
      <c r="A58" s="5" t="s">
        <v>8</v>
      </c>
      <c r="B58" s="3" t="s">
        <v>9</v>
      </c>
      <c r="C58" s="3" t="s">
        <v>1</v>
      </c>
    </row>
    <row r="59" spans="1:3" ht="18" x14ac:dyDescent="0.55000000000000004">
      <c r="A59" s="4">
        <v>1</v>
      </c>
      <c r="B59" s="9" t="s">
        <v>65</v>
      </c>
      <c r="C59" s="4" t="s">
        <v>79</v>
      </c>
    </row>
    <row r="60" spans="1:3" ht="18" x14ac:dyDescent="0.55000000000000004">
      <c r="A60" s="4">
        <v>2</v>
      </c>
      <c r="B60" s="9" t="s">
        <v>66</v>
      </c>
      <c r="C60" s="4" t="s">
        <v>16</v>
      </c>
    </row>
    <row r="61" spans="1:3" ht="18" x14ac:dyDescent="0.55000000000000004">
      <c r="A61" s="4">
        <v>3</v>
      </c>
      <c r="B61" s="9" t="s">
        <v>52</v>
      </c>
      <c r="C61" s="4" t="s">
        <v>17</v>
      </c>
    </row>
    <row r="62" spans="1:3" ht="18" x14ac:dyDescent="0.55000000000000004">
      <c r="A62" s="4">
        <v>4</v>
      </c>
      <c r="B62" s="9" t="s">
        <v>67</v>
      </c>
      <c r="C62" s="4" t="s">
        <v>14</v>
      </c>
    </row>
    <row r="63" spans="1:3" ht="18" x14ac:dyDescent="0.55000000000000004">
      <c r="A63" s="4">
        <v>5</v>
      </c>
      <c r="B63" s="9" t="s">
        <v>68</v>
      </c>
      <c r="C63" s="4" t="s">
        <v>12</v>
      </c>
    </row>
    <row r="64" spans="1:3" ht="18" x14ac:dyDescent="0.55000000000000004">
      <c r="A64" s="4">
        <v>6</v>
      </c>
      <c r="B64" s="9" t="s">
        <v>10</v>
      </c>
      <c r="C64" s="4" t="s">
        <v>15</v>
      </c>
    </row>
    <row r="65" spans="1:3" ht="18" x14ac:dyDescent="0.55000000000000004">
      <c r="A65" s="4"/>
      <c r="B65" s="4"/>
      <c r="C65" s="4"/>
    </row>
    <row r="66" spans="1:3" ht="58.5" customHeight="1" x14ac:dyDescent="0.55000000000000004">
      <c r="A66" s="10" t="s">
        <v>9</v>
      </c>
      <c r="B66" s="14" t="s">
        <v>64</v>
      </c>
      <c r="C66" s="3"/>
    </row>
    <row r="67" spans="1:3" ht="18" x14ac:dyDescent="0.55000000000000004">
      <c r="A67" s="4" t="s">
        <v>33</v>
      </c>
      <c r="B67" s="4">
        <v>25</v>
      </c>
      <c r="C67" s="4"/>
    </row>
    <row r="68" spans="1:3" ht="18" x14ac:dyDescent="0.55000000000000004">
      <c r="A68" s="4" t="s">
        <v>34</v>
      </c>
      <c r="B68" s="4">
        <v>5</v>
      </c>
      <c r="C68" s="4"/>
    </row>
    <row r="69" spans="1:3" ht="18" x14ac:dyDescent="0.55000000000000004">
      <c r="A69" s="4" t="s">
        <v>63</v>
      </c>
      <c r="B69" s="4">
        <v>35</v>
      </c>
      <c r="C69" s="4"/>
    </row>
    <row r="70" spans="1:3" ht="18" x14ac:dyDescent="0.55000000000000004">
      <c r="A70" s="4" t="s">
        <v>35</v>
      </c>
      <c r="B70" s="4">
        <v>120</v>
      </c>
      <c r="C70" s="4"/>
    </row>
    <row r="71" spans="1:3" ht="18" x14ac:dyDescent="0.55000000000000004">
      <c r="A71" s="4" t="s">
        <v>36</v>
      </c>
      <c r="B71" s="4">
        <v>9</v>
      </c>
      <c r="C71" s="4"/>
    </row>
    <row r="72" spans="1:3" ht="18" x14ac:dyDescent="0.55000000000000004">
      <c r="A72" s="4" t="s">
        <v>37</v>
      </c>
      <c r="B72" s="4">
        <v>3</v>
      </c>
      <c r="C72" s="4"/>
    </row>
    <row r="73" spans="1:3" ht="18" x14ac:dyDescent="0.55000000000000004">
      <c r="A73" s="4" t="s">
        <v>38</v>
      </c>
      <c r="B73" s="4">
        <v>120</v>
      </c>
      <c r="C73" s="4"/>
    </row>
    <row r="74" spans="1:3" ht="18" x14ac:dyDescent="0.55000000000000004">
      <c r="A74" s="4" t="s">
        <v>33</v>
      </c>
      <c r="B74" s="4">
        <v>25</v>
      </c>
      <c r="C74" s="4"/>
    </row>
    <row r="75" spans="1:3" ht="18" x14ac:dyDescent="0.55000000000000004">
      <c r="A75" s="4" t="s">
        <v>10</v>
      </c>
      <c r="B75" s="4">
        <v>180</v>
      </c>
      <c r="C75" s="4"/>
    </row>
    <row r="76" spans="1:3" ht="18" x14ac:dyDescent="0.55000000000000004">
      <c r="A76" s="4"/>
      <c r="B76" s="4"/>
      <c r="C76" s="4"/>
    </row>
    <row r="77" spans="1:3" ht="36" x14ac:dyDescent="0.55000000000000004">
      <c r="A77" s="21" t="s">
        <v>72</v>
      </c>
      <c r="B77" s="25" t="s">
        <v>73</v>
      </c>
      <c r="C77" s="3"/>
    </row>
    <row r="78" spans="1:3" ht="18" x14ac:dyDescent="0.55000000000000004">
      <c r="A78" s="4"/>
      <c r="B78" s="24"/>
      <c r="C78" s="4"/>
    </row>
    <row r="79" spans="1:3" ht="18" x14ac:dyDescent="0.55000000000000004">
      <c r="A79" s="5" t="s">
        <v>5</v>
      </c>
      <c r="B79" s="3" t="s">
        <v>40</v>
      </c>
      <c r="C79" s="3"/>
    </row>
    <row r="80" spans="1:3" ht="36" x14ac:dyDescent="0.55000000000000004">
      <c r="A80" s="4"/>
      <c r="B80" s="24" t="s">
        <v>74</v>
      </c>
      <c r="C80" s="4"/>
    </row>
    <row r="81" spans="1:3" ht="18" x14ac:dyDescent="0.55000000000000004">
      <c r="A81" s="4"/>
      <c r="B81" s="24"/>
      <c r="C81" s="4"/>
    </row>
    <row r="82" spans="1:3" ht="18" x14ac:dyDescent="0.55000000000000004">
      <c r="A82" s="5" t="s">
        <v>42</v>
      </c>
      <c r="B82" s="3" t="s">
        <v>43</v>
      </c>
      <c r="C82" s="3"/>
    </row>
    <row r="83" spans="1:3" ht="18" x14ac:dyDescent="0.55000000000000004">
      <c r="A83" s="4"/>
      <c r="B83" s="4"/>
      <c r="C83" s="4"/>
    </row>
    <row r="84" spans="1:3" ht="18" x14ac:dyDescent="0.55000000000000004">
      <c r="A84" s="5" t="s">
        <v>6</v>
      </c>
      <c r="B84" s="11" t="s">
        <v>47</v>
      </c>
      <c r="C84" s="3"/>
    </row>
    <row r="85" spans="1:3" ht="18" x14ac:dyDescent="0.55000000000000004">
      <c r="A85" s="4" t="s">
        <v>44</v>
      </c>
      <c r="B85" s="4"/>
      <c r="C85" s="4"/>
    </row>
    <row r="86" spans="1:3" ht="18" x14ac:dyDescent="0.55000000000000004">
      <c r="A86" s="4" t="s">
        <v>45</v>
      </c>
      <c r="B86" s="4"/>
      <c r="C86" s="4"/>
    </row>
    <row r="87" spans="1:3" ht="18" x14ac:dyDescent="0.55000000000000004">
      <c r="A87" s="4" t="s">
        <v>46</v>
      </c>
      <c r="B87" s="4"/>
      <c r="C87" s="4"/>
    </row>
    <row r="88" spans="1:3" ht="18" x14ac:dyDescent="0.55000000000000004">
      <c r="A88" s="8"/>
      <c r="B88" s="12"/>
      <c r="C88" s="4"/>
    </row>
    <row r="89" spans="1:3" ht="18" x14ac:dyDescent="0.55000000000000004">
      <c r="A89" s="5" t="s">
        <v>7</v>
      </c>
      <c r="B89" s="3"/>
      <c r="C89" s="3"/>
    </row>
    <row r="90" spans="1:3" ht="18" x14ac:dyDescent="0.55000000000000004">
      <c r="A90" s="13" t="s">
        <v>48</v>
      </c>
      <c r="B90" s="4"/>
      <c r="C90" s="4"/>
    </row>
    <row r="91" spans="1:3" ht="18" x14ac:dyDescent="0.55000000000000004">
      <c r="A91" s="13" t="s">
        <v>39</v>
      </c>
      <c r="B91" s="4"/>
      <c r="C91" s="4"/>
    </row>
    <row r="92" spans="1:3" ht="18" x14ac:dyDescent="0.55000000000000004">
      <c r="A92" s="4" t="s">
        <v>49</v>
      </c>
      <c r="B92" s="4"/>
      <c r="C92" s="4"/>
    </row>
    <row r="93" spans="1:3" ht="18" x14ac:dyDescent="0.55000000000000004">
      <c r="A93" s="4"/>
      <c r="B93" s="4"/>
      <c r="C93" s="4"/>
    </row>
  </sheetData>
  <sheetProtection algorithmName="SHA-512" hashValue="ATkRUlJ9FdVPRA/MxMI8l70hdaHnaFvfjoQ2h+SZqx27vB/X5zBdDWcxXPJ54+X7hvoumtE9845u7qFo0RVJJA==" saltValue="8RtM8Jy5YCLi+WoQpPG4Sg==" spinCount="100000" sheet="1" objects="1" scenarios="1"/>
  <mergeCells count="5">
    <mergeCell ref="A1:C1"/>
    <mergeCell ref="A5:C5"/>
    <mergeCell ref="A6:C6"/>
    <mergeCell ref="A7:C7"/>
    <mergeCell ref="A4:C4"/>
  </mergeCells>
  <pageMargins left="0.7" right="0.7" top="0.75" bottom="0.75" header="0.3" footer="0.3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Dorigo  Martina</dc:creator>
  <cp:lastModifiedBy>Perret  Eléonore</cp:lastModifiedBy>
  <cp:lastPrinted>2024-09-23T12:59:59Z</cp:lastPrinted>
  <dcterms:created xsi:type="dcterms:W3CDTF">2024-09-18T08:19:01Z</dcterms:created>
  <dcterms:modified xsi:type="dcterms:W3CDTF">2025-03-26T13:55:34Z</dcterms:modified>
</cp:coreProperties>
</file>