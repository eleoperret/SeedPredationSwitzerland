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\Data\"/>
    </mc:Choice>
  </mc:AlternateContent>
  <xr:revisionPtr revIDLastSave="0" documentId="13_ncr:1_{5F4E7154-7F3B-4499-A9BD-EB6E89AEFA12}" xr6:coauthVersionLast="47" xr6:coauthVersionMax="47" xr10:uidLastSave="{00000000-0000-0000-0000-000000000000}"/>
  <bookViews>
    <workbookView xWindow="-16320" yWindow="4800" windowWidth="16440" windowHeight="28320" tabRatio="500" xr2:uid="{00000000-000D-0000-FFFF-FFFF00000000}"/>
  </bookViews>
  <sheets>
    <sheet name="Data" sheetId="1" r:id="rId1"/>
    <sheet name="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49" i="1" l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<sst xmlns="http://schemas.openxmlformats.org/spreadsheetml/2006/main" count="338" uniqueCount="84">
  <si>
    <t>DateBag</t>
  </si>
  <si>
    <t>Site</t>
  </si>
  <si>
    <t>ID</t>
  </si>
  <si>
    <t>Week</t>
  </si>
  <si>
    <t>Station</t>
  </si>
  <si>
    <t>TreatmentNr</t>
  </si>
  <si>
    <t>DateSorting</t>
  </si>
  <si>
    <t>SorterID</t>
  </si>
  <si>
    <t>SpeciesTreatmentNr</t>
  </si>
  <si>
    <t>Species</t>
  </si>
  <si>
    <t>NbSeedStart</t>
  </si>
  <si>
    <t>SeedsCount</t>
  </si>
  <si>
    <t>DamagedSeedsCount</t>
  </si>
  <si>
    <t>SignsPredation</t>
  </si>
  <si>
    <t>Notes</t>
  </si>
  <si>
    <t>WAL</t>
  </si>
  <si>
    <t>SG</t>
  </si>
  <si>
    <t>FL</t>
  </si>
  <si>
    <t>Fagus sylvatica</t>
  </si>
  <si>
    <t>Hole</t>
  </si>
  <si>
    <t>dead ant</t>
  </si>
  <si>
    <t>Abies alba</t>
  </si>
  <si>
    <t>Picea abies</t>
  </si>
  <si>
    <t>dead ants</t>
  </si>
  <si>
    <t>MD</t>
  </si>
  <si>
    <t>Crack</t>
  </si>
  <si>
    <t>Hole and Crack</t>
  </si>
  <si>
    <t xml:space="preserve">there seems to be a mistake, since there are more seeds than before </t>
  </si>
  <si>
    <t>EP</t>
  </si>
  <si>
    <t>SEED SORTING DATASHEET INSTRUCTIONS</t>
  </si>
  <si>
    <t>How to save the data</t>
  </si>
  <si>
    <t xml:space="preserve">Access the polybox, in the 'Shared_SPP_CH' folder you can find the 'SeedSortingTemplate.xlsx' file. </t>
  </si>
  <si>
    <t xml:space="preserve">Download the file. </t>
  </si>
  <si>
    <t>Rename the file like this: "SeedSorting_Autumn24_&lt;DDMMYYYY&gt;_&lt;YourInitials&gt;.xlsx</t>
  </si>
  <si>
    <t xml:space="preserve"> Upload the file in the polybox into this folder: Shared_SPP_CH&gt;SeedSorting&gt;SeedSortingData</t>
  </si>
  <si>
    <t>Date in the format dd/mm/yyyy</t>
  </si>
  <si>
    <t>BEA</t>
  </si>
  <si>
    <t>Beatenberg</t>
  </si>
  <si>
    <t>BET</t>
  </si>
  <si>
    <t>Bettlachstock</t>
  </si>
  <si>
    <t>CEL</t>
  </si>
  <si>
    <t>Celerina</t>
  </si>
  <si>
    <t>NAT</t>
  </si>
  <si>
    <t>Nationalpark</t>
  </si>
  <si>
    <t>NEU</t>
  </si>
  <si>
    <t>Neunkirch</t>
  </si>
  <si>
    <t>SCH</t>
  </si>
  <si>
    <t>Schänis</t>
  </si>
  <si>
    <t>VOR</t>
  </si>
  <si>
    <t>Vordemwald</t>
  </si>
  <si>
    <t>Waldlabor</t>
  </si>
  <si>
    <t>Initials of the people collecting the seeds (check the paper bag)</t>
  </si>
  <si>
    <t>OL</t>
  </si>
  <si>
    <t>JN</t>
  </si>
  <si>
    <t>LW</t>
  </si>
  <si>
    <t>MD&amp;SG</t>
  </si>
  <si>
    <t>MD&amp;EP</t>
  </si>
  <si>
    <t>EP&amp;SG</t>
  </si>
  <si>
    <t>if you find other initials add them with the simbol &amp; in between</t>
  </si>
  <si>
    <t>number between 1 and 10</t>
  </si>
  <si>
    <t>TreatmentID</t>
  </si>
  <si>
    <t>OpenEntryBox</t>
  </si>
  <si>
    <t>CloseEntryBox</t>
  </si>
  <si>
    <t>Name and surname initials</t>
  </si>
  <si>
    <r>
      <rPr>
        <i/>
        <sz val="14"/>
        <color rgb="FF000000"/>
        <rFont val="Aptos"/>
        <family val="2"/>
        <charset val="1"/>
      </rPr>
      <t>Abies alba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Picea abies</t>
    </r>
  </si>
  <si>
    <t>WAL, VOR, BEA</t>
  </si>
  <si>
    <r>
      <rPr>
        <i/>
        <sz val="14"/>
        <color rgb="FF000000"/>
        <rFont val="Aptos"/>
        <family val="2"/>
        <charset val="1"/>
      </rPr>
      <t>Tilia cordata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Acer pseudoplatanus</t>
    </r>
  </si>
  <si>
    <t>Abies alba, Fagus sylvatica, Acer pseudoplatanus</t>
  </si>
  <si>
    <r>
      <rPr>
        <i/>
        <sz val="14"/>
        <color rgb="FF000000"/>
        <rFont val="Aptos"/>
        <family val="2"/>
        <charset val="1"/>
      </rPr>
      <t>Pinus cembra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Larix decidua</t>
    </r>
  </si>
  <si>
    <r>
      <rPr>
        <i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/>
        <sz val="14"/>
        <color rgb="FF000000"/>
        <rFont val="Aptos"/>
        <family val="2"/>
        <charset val="1"/>
      </rPr>
      <t>Picea abies</t>
    </r>
  </si>
  <si>
    <t>Pinus mugo</t>
  </si>
  <si>
    <t>Nr Seeds start (you should never be able to count more seeds than this amount, if there are more, please add a note, that means that there was a mistake)</t>
  </si>
  <si>
    <t>Tillia cordata</t>
  </si>
  <si>
    <t>Acer pseudoplatanus</t>
  </si>
  <si>
    <t>Pinus cembra</t>
  </si>
  <si>
    <t>Larix decidua</t>
  </si>
  <si>
    <t xml:space="preserve">Number of seeds originally in the box. Check the rows above or the table at the end. This field is automatically filled on the excel datasheet and cannot be edited. </t>
  </si>
  <si>
    <t>count of the seeds for each species</t>
  </si>
  <si>
    <t>you should never be able to count more seeds than this amount, if there are more, please add a note, that means that there was a mistake</t>
  </si>
  <si>
    <t xml:space="preserve">count of seeds with signs of predation eg: small holes or cracks. Do not count seeds coat. </t>
  </si>
  <si>
    <t xml:space="preserve">report signs of predation on seeds </t>
  </si>
  <si>
    <t>a.Dead ants</t>
  </si>
  <si>
    <t>b. Presence of animal dejection</t>
  </si>
  <si>
    <t xml:space="preserve">c. Other notes, write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</si>
</sst>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/mm/yyyy;@"/>
  </numFmts>
  <fonts count="7" x14ac:knownFonts="1">
    <font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22"/>
      <color theme="1"/>
      <name val="Aptos Narrow"/>
      <family val="2"/>
      <charset val="1"/>
    </font>
    <font>
      <sz val="14"/>
      <color rgb="FF000000"/>
      <name val="Aptos"/>
      <family val="2"/>
      <charset val="1"/>
    </font>
    <font>
      <b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/>
      <sz val="14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79857783745845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3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165" fontId="4" fillId="2" borderId="0" xfId="0" applyNumberFormat="1" applyFont="1" applyFill="1"/>
    <xf numFmtId="0" fontId="5" fillId="2" borderId="0" xfId="0" applyFont="1" applyFill="1"/>
    <xf numFmtId="0" fontId="5" fillId="0" borderId="0" xfId="0" applyFont="1"/>
    <xf numFmtId="0" fontId="4" fillId="2" borderId="0" xfId="0" applyFont="1" applyFill="1"/>
    <xf numFmtId="0" fontId="4" fillId="0" borderId="0" xfId="0" applyFont="1"/>
    <xf numFmtId="0" fontId="6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left" vertical="center" indent="6" readingOrder="1"/>
    </xf>
    <xf numFmtId="0" fontId="5" fillId="0" borderId="0" xfId="0" applyFont="1" applyAlignment="1">
      <alignment horizontal="left" vertical="center" indent="6" readingOrder="1"/>
    </xf>
    <xf numFmtId="0" fontId="5" fillId="0" borderId="0" xfId="0" applyFont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90720</xdr:colOff>
      <xdr:row>102</xdr:row>
      <xdr:rowOff>9720</xdr:rowOff>
    </xdr:from>
    <xdr:to>
      <xdr:col>2</xdr:col>
      <xdr:colOff>1031400</xdr:colOff>
      <xdr:row>112</xdr:row>
      <xdr:rowOff>130320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720" y="23947920"/>
          <a:ext cx="803304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69"/>
  <sheetViews>
    <sheetView tabSelected="1" zoomScale="50" zoomScaleNormal="50" workbookViewId="0">
      <selection activeCell="Q7" sqref="Q7"/>
    </sheetView>
  </sheetViews>
  <sheetFormatPr baseColWidth="10" defaultColWidth="9.1328125" defaultRowHeight="14.25" x14ac:dyDescent="0.45"/>
  <cols>
    <col min="1" max="1" width="28.3984375" style="3" customWidth="1"/>
    <col min="2" max="3" width="8.6640625" style="4" customWidth="1"/>
    <col min="4" max="5" width="10.1328125" style="4" customWidth="1"/>
    <col min="6" max="6" width="12.796875" style="4" customWidth="1"/>
    <col min="7" max="7" width="12.1328125" style="3" customWidth="1"/>
    <col min="8" max="8" width="8.6640625" style="4" customWidth="1"/>
    <col min="9" max="9" width="20.46484375" style="4" customWidth="1"/>
    <col min="10" max="10" width="13.1328125" style="4" customWidth="1"/>
    <col min="11" max="11" width="15.86328125" customWidth="1"/>
    <col min="12" max="12" width="12.46484375" style="4" customWidth="1"/>
    <col min="13" max="13" width="21.46484375" style="4" customWidth="1"/>
    <col min="14" max="14" width="15" style="4" customWidth="1"/>
    <col min="15" max="15" width="24.33203125" style="4" customWidth="1"/>
  </cols>
  <sheetData>
    <row r="1" spans="1:15" ht="21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1" customHeight="1" x14ac:dyDescent="0.45">
      <c r="A2" s="7">
        <v>9014</v>
      </c>
      <c r="B2" s="8" t="s">
        <v>15</v>
      </c>
      <c r="C2" s="8" t="s">
        <v>16</v>
      </c>
      <c r="D2" s="8">
        <v>3</v>
      </c>
      <c r="E2" s="8">
        <v>10</v>
      </c>
      <c r="F2" s="8">
        <v>2</v>
      </c>
      <c r="G2" s="7">
        <v>9036</v>
      </c>
      <c r="H2" s="8" t="s">
        <v>17</v>
      </c>
      <c r="I2" s="8">
        <v>1</v>
      </c>
      <c r="J2" s="8" t="s">
        <v>18</v>
      </c>
      <c r="K2" s="9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5</v>
      </c>
      <c r="L2" s="8">
        <v>5</v>
      </c>
      <c r="M2" s="8">
        <v>1</v>
      </c>
      <c r="N2" s="8" t="s">
        <v>19</v>
      </c>
      <c r="O2" s="8" t="s">
        <v>20</v>
      </c>
    </row>
    <row r="3" spans="1:15" ht="21" customHeight="1" x14ac:dyDescent="0.45">
      <c r="A3" s="7">
        <v>9014</v>
      </c>
      <c r="B3" s="8" t="s">
        <v>15</v>
      </c>
      <c r="C3" s="8" t="s">
        <v>16</v>
      </c>
      <c r="D3" s="8">
        <v>3</v>
      </c>
      <c r="E3" s="8">
        <v>10</v>
      </c>
      <c r="F3" s="8">
        <v>2</v>
      </c>
      <c r="G3" s="7">
        <v>9036</v>
      </c>
      <c r="H3" s="8" t="s">
        <v>17</v>
      </c>
      <c r="I3" s="8">
        <v>1</v>
      </c>
      <c r="J3" s="8" t="s">
        <v>21</v>
      </c>
      <c r="K3" s="9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25</v>
      </c>
      <c r="L3" s="8">
        <v>25</v>
      </c>
      <c r="M3" s="8"/>
      <c r="N3" s="8"/>
      <c r="O3" s="8"/>
    </row>
    <row r="4" spans="1:15" ht="21" customHeight="1" x14ac:dyDescent="0.45">
      <c r="A4" s="7">
        <v>9014</v>
      </c>
      <c r="B4" s="8" t="s">
        <v>15</v>
      </c>
      <c r="C4" s="8" t="s">
        <v>16</v>
      </c>
      <c r="D4" s="8">
        <v>3</v>
      </c>
      <c r="E4" s="8">
        <v>10</v>
      </c>
      <c r="F4" s="8">
        <v>2</v>
      </c>
      <c r="G4" s="7">
        <v>9036</v>
      </c>
      <c r="H4" s="8" t="s">
        <v>17</v>
      </c>
      <c r="I4" s="8">
        <v>1</v>
      </c>
      <c r="J4" s="8" t="s">
        <v>22</v>
      </c>
      <c r="K4" s="9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120</v>
      </c>
      <c r="L4" s="8">
        <v>120</v>
      </c>
      <c r="M4" s="8">
        <v>2</v>
      </c>
      <c r="N4" s="8" t="s">
        <v>19</v>
      </c>
      <c r="O4" s="8" t="s">
        <v>20</v>
      </c>
    </row>
    <row r="5" spans="1:15" ht="21" customHeight="1" x14ac:dyDescent="0.45">
      <c r="A5" s="7">
        <v>9014</v>
      </c>
      <c r="B5" s="8" t="s">
        <v>15</v>
      </c>
      <c r="C5" s="8" t="s">
        <v>16</v>
      </c>
      <c r="D5" s="8">
        <v>3</v>
      </c>
      <c r="E5" s="8">
        <v>9</v>
      </c>
      <c r="F5" s="8">
        <v>2</v>
      </c>
      <c r="G5" s="7">
        <v>9036</v>
      </c>
      <c r="H5" s="8" t="s">
        <v>17</v>
      </c>
      <c r="I5" s="8">
        <v>1</v>
      </c>
      <c r="J5" s="8" t="s">
        <v>18</v>
      </c>
      <c r="K5" s="9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5</v>
      </c>
      <c r="L5" s="8">
        <v>5</v>
      </c>
      <c r="M5" s="8"/>
      <c r="N5" s="8"/>
      <c r="O5" s="8"/>
    </row>
    <row r="6" spans="1:15" ht="21" customHeight="1" x14ac:dyDescent="0.45">
      <c r="A6" s="7">
        <v>9014</v>
      </c>
      <c r="B6" s="8" t="s">
        <v>15</v>
      </c>
      <c r="C6" s="8" t="s">
        <v>16</v>
      </c>
      <c r="D6" s="8">
        <v>3</v>
      </c>
      <c r="E6" s="8">
        <v>9</v>
      </c>
      <c r="F6" s="8">
        <v>2</v>
      </c>
      <c r="G6" s="7">
        <v>9036</v>
      </c>
      <c r="H6" s="8" t="s">
        <v>17</v>
      </c>
      <c r="I6" s="8">
        <v>1</v>
      </c>
      <c r="J6" s="8" t="s">
        <v>21</v>
      </c>
      <c r="K6" s="9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25</v>
      </c>
      <c r="L6" s="8">
        <v>24</v>
      </c>
      <c r="M6" s="8"/>
      <c r="N6" s="8"/>
      <c r="O6" s="8" t="s">
        <v>23</v>
      </c>
    </row>
    <row r="7" spans="1:15" ht="21" customHeight="1" x14ac:dyDescent="0.45">
      <c r="A7" s="7">
        <v>9014</v>
      </c>
      <c r="B7" s="8" t="s">
        <v>15</v>
      </c>
      <c r="C7" s="8" t="s">
        <v>16</v>
      </c>
      <c r="D7" s="8">
        <v>3</v>
      </c>
      <c r="E7" s="8">
        <v>9</v>
      </c>
      <c r="F7" s="8">
        <v>2</v>
      </c>
      <c r="G7" s="7">
        <v>9036</v>
      </c>
      <c r="H7" s="8" t="s">
        <v>17</v>
      </c>
      <c r="I7" s="8">
        <v>1</v>
      </c>
      <c r="J7" s="8" t="s">
        <v>22</v>
      </c>
      <c r="K7" s="9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120</v>
      </c>
      <c r="L7" s="8">
        <v>120</v>
      </c>
      <c r="M7" s="8">
        <v>2</v>
      </c>
      <c r="N7" s="8" t="s">
        <v>19</v>
      </c>
      <c r="O7" s="8" t="s">
        <v>23</v>
      </c>
    </row>
    <row r="8" spans="1:15" ht="21" customHeight="1" x14ac:dyDescent="0.45">
      <c r="A8" s="7">
        <v>9014</v>
      </c>
      <c r="B8" s="8" t="s">
        <v>15</v>
      </c>
      <c r="C8" s="8" t="s">
        <v>24</v>
      </c>
      <c r="D8" s="8">
        <v>3</v>
      </c>
      <c r="E8" s="8">
        <v>6</v>
      </c>
      <c r="F8" s="8">
        <v>2</v>
      </c>
      <c r="G8" s="7">
        <v>9036</v>
      </c>
      <c r="H8" s="8" t="s">
        <v>17</v>
      </c>
      <c r="I8" s="8">
        <v>1</v>
      </c>
      <c r="J8" s="8" t="s">
        <v>18</v>
      </c>
      <c r="K8" s="9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5</v>
      </c>
      <c r="L8" s="8">
        <v>5</v>
      </c>
      <c r="M8" s="8">
        <v>1</v>
      </c>
      <c r="N8" s="8" t="s">
        <v>25</v>
      </c>
      <c r="O8" s="8"/>
    </row>
    <row r="9" spans="1:15" ht="21" customHeight="1" x14ac:dyDescent="0.45">
      <c r="A9" s="7">
        <v>9014</v>
      </c>
      <c r="B9" s="8" t="s">
        <v>15</v>
      </c>
      <c r="C9" s="8" t="s">
        <v>24</v>
      </c>
      <c r="D9" s="8">
        <v>3</v>
      </c>
      <c r="E9" s="8">
        <v>6</v>
      </c>
      <c r="F9" s="8">
        <v>2</v>
      </c>
      <c r="G9" s="7">
        <v>9036</v>
      </c>
      <c r="H9" s="8" t="s">
        <v>17</v>
      </c>
      <c r="I9" s="8">
        <v>1</v>
      </c>
      <c r="J9" s="8" t="s">
        <v>21</v>
      </c>
      <c r="K9" s="9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25</v>
      </c>
      <c r="L9" s="8">
        <v>25</v>
      </c>
      <c r="M9" s="8"/>
      <c r="N9" s="8"/>
      <c r="O9" s="8"/>
    </row>
    <row r="10" spans="1:15" ht="21" customHeight="1" x14ac:dyDescent="0.45">
      <c r="A10" s="7">
        <v>9014</v>
      </c>
      <c r="B10" s="8" t="s">
        <v>15</v>
      </c>
      <c r="C10" s="8" t="s">
        <v>24</v>
      </c>
      <c r="D10" s="8">
        <v>3</v>
      </c>
      <c r="E10" s="8">
        <v>6</v>
      </c>
      <c r="F10" s="8">
        <v>2</v>
      </c>
      <c r="G10" s="7">
        <v>9036</v>
      </c>
      <c r="H10" s="8" t="s">
        <v>17</v>
      </c>
      <c r="I10" s="8">
        <v>1</v>
      </c>
      <c r="J10" s="8" t="s">
        <v>22</v>
      </c>
      <c r="K10" s="9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120</v>
      </c>
      <c r="L10" s="8">
        <v>120</v>
      </c>
      <c r="M10" s="8">
        <v>1</v>
      </c>
      <c r="N10" s="8" t="s">
        <v>19</v>
      </c>
      <c r="O10" s="8" t="s">
        <v>23</v>
      </c>
    </row>
    <row r="11" spans="1:15" ht="21" customHeight="1" x14ac:dyDescent="0.45">
      <c r="A11" s="7">
        <v>9014</v>
      </c>
      <c r="B11" s="8" t="s">
        <v>15</v>
      </c>
      <c r="C11" s="8" t="s">
        <v>24</v>
      </c>
      <c r="D11" s="8">
        <v>3</v>
      </c>
      <c r="E11" s="8">
        <v>7</v>
      </c>
      <c r="F11" s="8">
        <v>1</v>
      </c>
      <c r="G11" s="7">
        <v>9036</v>
      </c>
      <c r="H11" s="8" t="s">
        <v>17</v>
      </c>
      <c r="I11" s="8">
        <v>1</v>
      </c>
      <c r="J11" s="8" t="s">
        <v>18</v>
      </c>
      <c r="K11" s="9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5</v>
      </c>
      <c r="L11" s="8">
        <v>0</v>
      </c>
      <c r="M11" s="8"/>
      <c r="N11" s="8"/>
      <c r="O11" s="8" t="s">
        <v>20</v>
      </c>
    </row>
    <row r="12" spans="1:15" ht="21" customHeight="1" x14ac:dyDescent="0.45">
      <c r="A12" s="7">
        <v>9014</v>
      </c>
      <c r="B12" s="8" t="s">
        <v>15</v>
      </c>
      <c r="C12" s="8" t="s">
        <v>24</v>
      </c>
      <c r="D12" s="8">
        <v>3</v>
      </c>
      <c r="E12" s="8">
        <v>7</v>
      </c>
      <c r="F12" s="8">
        <v>1</v>
      </c>
      <c r="G12" s="7">
        <v>9036</v>
      </c>
      <c r="H12" s="8" t="s">
        <v>17</v>
      </c>
      <c r="I12" s="8">
        <v>1</v>
      </c>
      <c r="J12" s="8" t="s">
        <v>21</v>
      </c>
      <c r="K12" s="9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25</v>
      </c>
      <c r="L12" s="8">
        <v>9</v>
      </c>
      <c r="M12" s="8">
        <v>9</v>
      </c>
      <c r="N12" s="8" t="s">
        <v>26</v>
      </c>
      <c r="O12" s="8" t="s">
        <v>20</v>
      </c>
    </row>
    <row r="13" spans="1:15" ht="21" customHeight="1" x14ac:dyDescent="0.45">
      <c r="A13" s="7">
        <v>9014</v>
      </c>
      <c r="B13" s="8" t="s">
        <v>15</v>
      </c>
      <c r="C13" s="8" t="s">
        <v>24</v>
      </c>
      <c r="D13" s="8">
        <v>3</v>
      </c>
      <c r="E13" s="8">
        <v>7</v>
      </c>
      <c r="F13" s="8">
        <v>1</v>
      </c>
      <c r="G13" s="7">
        <v>9036</v>
      </c>
      <c r="H13" s="8" t="s">
        <v>17</v>
      </c>
      <c r="I13" s="8">
        <v>1</v>
      </c>
      <c r="J13" s="8" t="s">
        <v>22</v>
      </c>
      <c r="K13" s="9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120</v>
      </c>
      <c r="L13" s="8">
        <v>120</v>
      </c>
      <c r="M13" s="8">
        <v>119</v>
      </c>
      <c r="N13" s="8" t="s">
        <v>26</v>
      </c>
      <c r="O13" s="8" t="s">
        <v>20</v>
      </c>
    </row>
    <row r="14" spans="1:15" ht="21" customHeight="1" x14ac:dyDescent="0.45">
      <c r="A14" s="7">
        <v>9014</v>
      </c>
      <c r="B14" s="8" t="s">
        <v>15</v>
      </c>
      <c r="C14" s="8" t="s">
        <v>16</v>
      </c>
      <c r="D14" s="8">
        <v>3</v>
      </c>
      <c r="E14" s="8">
        <v>3</v>
      </c>
      <c r="F14" s="8">
        <v>1</v>
      </c>
      <c r="G14" s="7">
        <v>9036</v>
      </c>
      <c r="H14" s="8" t="s">
        <v>17</v>
      </c>
      <c r="I14" s="8">
        <v>1</v>
      </c>
      <c r="J14" s="8" t="s">
        <v>18</v>
      </c>
      <c r="K14" s="9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5</v>
      </c>
      <c r="L14" s="8">
        <v>0</v>
      </c>
      <c r="M14" s="8"/>
      <c r="N14" s="8"/>
      <c r="O14" s="8" t="s">
        <v>23</v>
      </c>
    </row>
    <row r="15" spans="1:15" ht="21" customHeight="1" x14ac:dyDescent="0.45">
      <c r="A15" s="7">
        <v>9014</v>
      </c>
      <c r="B15" s="8" t="s">
        <v>15</v>
      </c>
      <c r="C15" s="8" t="s">
        <v>16</v>
      </c>
      <c r="D15" s="8">
        <v>3</v>
      </c>
      <c r="E15" s="8">
        <v>3</v>
      </c>
      <c r="F15" s="8">
        <v>1</v>
      </c>
      <c r="G15" s="7">
        <v>9036</v>
      </c>
      <c r="H15" s="8" t="s">
        <v>17</v>
      </c>
      <c r="I15" s="8">
        <v>1</v>
      </c>
      <c r="J15" s="8" t="s">
        <v>21</v>
      </c>
      <c r="K15" s="9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25</v>
      </c>
      <c r="L15" s="8">
        <v>6</v>
      </c>
      <c r="M15" s="8">
        <v>6</v>
      </c>
      <c r="N15" s="8" t="s">
        <v>26</v>
      </c>
      <c r="O15" s="8" t="s">
        <v>23</v>
      </c>
    </row>
    <row r="16" spans="1:15" ht="21" customHeight="1" x14ac:dyDescent="0.45">
      <c r="A16" s="7">
        <v>9014</v>
      </c>
      <c r="B16" s="8" t="s">
        <v>15</v>
      </c>
      <c r="C16" s="8" t="s">
        <v>16</v>
      </c>
      <c r="D16" s="8">
        <v>3</v>
      </c>
      <c r="E16" s="8">
        <v>3</v>
      </c>
      <c r="F16" s="8">
        <v>1</v>
      </c>
      <c r="G16" s="7">
        <v>9036</v>
      </c>
      <c r="H16" s="4" t="s">
        <v>17</v>
      </c>
      <c r="I16" s="8">
        <v>1</v>
      </c>
      <c r="J16" s="8" t="s">
        <v>22</v>
      </c>
      <c r="K16" s="9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120</v>
      </c>
      <c r="L16" s="8">
        <v>44</v>
      </c>
      <c r="M16" s="8">
        <v>42</v>
      </c>
      <c r="N16" s="8" t="s">
        <v>26</v>
      </c>
      <c r="O16" s="8" t="s">
        <v>23</v>
      </c>
    </row>
    <row r="17" spans="1:15" ht="21" customHeight="1" x14ac:dyDescent="0.45">
      <c r="A17" s="7">
        <v>9014</v>
      </c>
      <c r="B17" s="8" t="s">
        <v>15</v>
      </c>
      <c r="C17" s="8" t="s">
        <v>16</v>
      </c>
      <c r="D17" s="8">
        <v>3</v>
      </c>
      <c r="E17" s="8">
        <v>4</v>
      </c>
      <c r="F17" s="8">
        <v>1</v>
      </c>
      <c r="G17" s="7">
        <v>9036</v>
      </c>
      <c r="H17" s="8" t="s">
        <v>17</v>
      </c>
      <c r="I17" s="8">
        <v>1</v>
      </c>
      <c r="J17" s="8" t="s">
        <v>18</v>
      </c>
      <c r="K17" s="9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5</v>
      </c>
      <c r="L17" s="8">
        <v>0</v>
      </c>
      <c r="M17" s="8"/>
      <c r="N17" s="8"/>
      <c r="O17" s="8"/>
    </row>
    <row r="18" spans="1:15" ht="21" customHeight="1" x14ac:dyDescent="0.45">
      <c r="A18" s="7">
        <v>9014</v>
      </c>
      <c r="B18" s="8" t="s">
        <v>15</v>
      </c>
      <c r="C18" s="8" t="s">
        <v>16</v>
      </c>
      <c r="D18" s="8">
        <v>3</v>
      </c>
      <c r="E18" s="8">
        <v>4</v>
      </c>
      <c r="F18" s="8">
        <v>1</v>
      </c>
      <c r="G18" s="7">
        <v>9036</v>
      </c>
      <c r="H18" s="8" t="s">
        <v>17</v>
      </c>
      <c r="I18" s="8">
        <v>1</v>
      </c>
      <c r="J18" s="8" t="s">
        <v>21</v>
      </c>
      <c r="K18" s="9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25</v>
      </c>
      <c r="L18" s="8">
        <v>2</v>
      </c>
      <c r="M18" s="8"/>
      <c r="N18" s="8"/>
      <c r="O18" s="8"/>
    </row>
    <row r="19" spans="1:15" ht="21" customHeight="1" x14ac:dyDescent="0.45">
      <c r="A19" s="7">
        <v>9014</v>
      </c>
      <c r="B19" s="8" t="s">
        <v>15</v>
      </c>
      <c r="C19" s="8" t="s">
        <v>16</v>
      </c>
      <c r="D19" s="8">
        <v>3</v>
      </c>
      <c r="E19" s="8">
        <v>4</v>
      </c>
      <c r="F19" s="8">
        <v>1</v>
      </c>
      <c r="G19" s="7">
        <v>9036</v>
      </c>
      <c r="H19" s="8" t="s">
        <v>17</v>
      </c>
      <c r="I19" s="8">
        <v>1</v>
      </c>
      <c r="J19" s="8" t="s">
        <v>22</v>
      </c>
      <c r="K19" s="9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120</v>
      </c>
      <c r="L19" s="8">
        <v>17</v>
      </c>
      <c r="M19" s="8">
        <v>17</v>
      </c>
      <c r="N19" s="8"/>
      <c r="O19" s="8"/>
    </row>
    <row r="20" spans="1:15" ht="21" customHeight="1" x14ac:dyDescent="0.45">
      <c r="A20" s="7">
        <v>9014</v>
      </c>
      <c r="B20" s="8" t="s">
        <v>15</v>
      </c>
      <c r="C20" s="8" t="s">
        <v>16</v>
      </c>
      <c r="D20" s="8">
        <v>3</v>
      </c>
      <c r="E20" s="8">
        <v>1</v>
      </c>
      <c r="F20" s="8">
        <v>2</v>
      </c>
      <c r="G20" s="7">
        <v>9036</v>
      </c>
      <c r="H20" s="8" t="s">
        <v>17</v>
      </c>
      <c r="I20" s="8">
        <v>1</v>
      </c>
      <c r="J20" s="8" t="s">
        <v>18</v>
      </c>
      <c r="K20" s="9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5</v>
      </c>
      <c r="L20" s="8">
        <v>5</v>
      </c>
      <c r="M20" s="8"/>
      <c r="N20" s="8"/>
      <c r="O20" s="8"/>
    </row>
    <row r="21" spans="1:15" ht="21" customHeight="1" x14ac:dyDescent="0.45">
      <c r="A21" s="7">
        <v>9014</v>
      </c>
      <c r="B21" s="8" t="s">
        <v>15</v>
      </c>
      <c r="C21" s="8" t="s">
        <v>16</v>
      </c>
      <c r="D21" s="8">
        <v>3</v>
      </c>
      <c r="E21" s="8">
        <v>1</v>
      </c>
      <c r="F21" s="8">
        <v>2</v>
      </c>
      <c r="G21" s="7">
        <v>9036</v>
      </c>
      <c r="H21" s="8" t="s">
        <v>17</v>
      </c>
      <c r="I21" s="8">
        <v>1</v>
      </c>
      <c r="J21" s="8" t="s">
        <v>21</v>
      </c>
      <c r="K21" s="9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25</v>
      </c>
      <c r="L21" s="8">
        <v>25</v>
      </c>
      <c r="M21" s="8"/>
      <c r="N21" s="8"/>
      <c r="O21" s="8"/>
    </row>
    <row r="22" spans="1:15" ht="21" customHeight="1" x14ac:dyDescent="0.45">
      <c r="A22" s="7">
        <v>9014</v>
      </c>
      <c r="B22" s="8" t="s">
        <v>15</v>
      </c>
      <c r="C22" s="8" t="s">
        <v>16</v>
      </c>
      <c r="D22" s="8">
        <v>3</v>
      </c>
      <c r="E22" s="8">
        <v>1</v>
      </c>
      <c r="F22" s="8">
        <v>2</v>
      </c>
      <c r="G22" s="7">
        <v>9036</v>
      </c>
      <c r="H22" s="8" t="s">
        <v>17</v>
      </c>
      <c r="I22" s="8">
        <v>1</v>
      </c>
      <c r="J22" s="8" t="s">
        <v>22</v>
      </c>
      <c r="K22" s="9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120</v>
      </c>
      <c r="L22" s="8">
        <v>120</v>
      </c>
      <c r="M22" s="8"/>
      <c r="N22" s="8"/>
      <c r="O22" s="8"/>
    </row>
    <row r="23" spans="1:15" ht="21" customHeight="1" x14ac:dyDescent="0.45">
      <c r="A23" s="7">
        <v>9014</v>
      </c>
      <c r="B23" s="8" t="s">
        <v>15</v>
      </c>
      <c r="C23" s="8" t="s">
        <v>16</v>
      </c>
      <c r="D23" s="8">
        <v>3</v>
      </c>
      <c r="E23" s="8">
        <v>10</v>
      </c>
      <c r="F23" s="8">
        <v>1</v>
      </c>
      <c r="G23" s="7">
        <v>9036</v>
      </c>
      <c r="H23" s="8" t="s">
        <v>17</v>
      </c>
      <c r="I23" s="8">
        <v>1</v>
      </c>
      <c r="J23" s="8" t="s">
        <v>18</v>
      </c>
      <c r="K23" s="9">
        <f>IF(J23=Legend!$A$66,Legend!$B$66,(IF(J23=Legend!$A$67,Legend!$B$67,IF(J23=Legend!$A$68, Legend!$B$68, IF(J23=Legend!$A$69, Legend!$B$69, IF(J23=Legend!$A$70, Legend!$B$70, IF(J23=Legend!$A$71, Legend!$B$71, IF(J23=Legend!$A$72, Legend!$B$72, (IF(J23=Legend!$A$73, Legend!$B$73, IF(J23=Legend!$A$74, Legend!$B$74, "")))))))))))</f>
        <v>5</v>
      </c>
      <c r="L23" s="8">
        <v>0</v>
      </c>
      <c r="M23" s="8"/>
      <c r="N23" s="8"/>
      <c r="O23" s="8" t="s">
        <v>23</v>
      </c>
    </row>
    <row r="24" spans="1:15" ht="21" customHeight="1" x14ac:dyDescent="0.45">
      <c r="A24" s="7">
        <v>9014</v>
      </c>
      <c r="B24" s="8" t="s">
        <v>15</v>
      </c>
      <c r="C24" s="8" t="s">
        <v>16</v>
      </c>
      <c r="D24" s="8">
        <v>3</v>
      </c>
      <c r="E24" s="8">
        <v>10</v>
      </c>
      <c r="F24" s="8">
        <v>1</v>
      </c>
      <c r="G24" s="7">
        <v>9036</v>
      </c>
      <c r="H24" s="8" t="s">
        <v>17</v>
      </c>
      <c r="I24" s="8">
        <v>1</v>
      </c>
      <c r="J24" s="8" t="s">
        <v>21</v>
      </c>
      <c r="K24" s="9">
        <f>IF(J24=Legend!$A$66,Legend!$B$66,(IF(J24=Legend!$A$67,Legend!$B$67,IF(J24=Legend!$A$68, Legend!$B$68, IF(J24=Legend!$A$69, Legend!$B$69, IF(J24=Legend!$A$70, Legend!$B$70, IF(J24=Legend!$A$71, Legend!$B$71, IF(J24=Legend!$A$72, Legend!$B$72, (IF(J24=Legend!$A$73, Legend!$B$73, IF(J24=Legend!$A$74, Legend!$B$74, "")))))))))))</f>
        <v>25</v>
      </c>
      <c r="L24" s="4">
        <v>6</v>
      </c>
      <c r="M24" s="8">
        <v>6</v>
      </c>
      <c r="N24" s="8" t="s">
        <v>26</v>
      </c>
      <c r="O24" s="8" t="s">
        <v>23</v>
      </c>
    </row>
    <row r="25" spans="1:15" ht="21" customHeight="1" x14ac:dyDescent="0.45">
      <c r="A25" s="7">
        <v>9014</v>
      </c>
      <c r="B25" s="8" t="s">
        <v>15</v>
      </c>
      <c r="C25" s="8" t="s">
        <v>16</v>
      </c>
      <c r="D25" s="8">
        <v>3</v>
      </c>
      <c r="E25" s="8">
        <v>10</v>
      </c>
      <c r="F25" s="8">
        <v>1</v>
      </c>
      <c r="G25" s="7">
        <v>9036</v>
      </c>
      <c r="H25" s="8" t="s">
        <v>17</v>
      </c>
      <c r="I25" s="8">
        <v>1</v>
      </c>
      <c r="J25" s="8" t="s">
        <v>22</v>
      </c>
      <c r="K25" s="9">
        <f>IF(J25=Legend!$A$66,Legend!$B$66,(IF(J25=Legend!$A$67,Legend!$B$67,IF(J25=Legend!$A$68, Legend!$B$68, IF(J25=Legend!$A$69, Legend!$B$69, IF(J25=Legend!$A$70, Legend!$B$70, IF(J25=Legend!$A$71, Legend!$B$71, IF(J25=Legend!$A$72, Legend!$B$72, (IF(J25=Legend!$A$73, Legend!$B$73, IF(J25=Legend!$A$74, Legend!$B$74, "")))))))))))</f>
        <v>120</v>
      </c>
      <c r="L25" s="8">
        <v>103</v>
      </c>
      <c r="M25" s="8">
        <v>102</v>
      </c>
      <c r="N25" s="8" t="s">
        <v>26</v>
      </c>
      <c r="O25" s="8" t="s">
        <v>23</v>
      </c>
    </row>
    <row r="26" spans="1:15" ht="21" customHeight="1" x14ac:dyDescent="0.45">
      <c r="A26" s="7">
        <v>9014</v>
      </c>
      <c r="B26" s="8" t="s">
        <v>15</v>
      </c>
      <c r="C26" s="8" t="s">
        <v>16</v>
      </c>
      <c r="D26" s="8">
        <v>3</v>
      </c>
      <c r="E26" s="8">
        <v>5</v>
      </c>
      <c r="F26" s="8">
        <v>2</v>
      </c>
      <c r="G26" s="7">
        <v>9036</v>
      </c>
      <c r="H26" s="8" t="s">
        <v>17</v>
      </c>
      <c r="I26" s="8">
        <v>1</v>
      </c>
      <c r="J26" s="8" t="s">
        <v>18</v>
      </c>
      <c r="K26" s="9">
        <f>IF(J26=Legend!$A$66,Legend!$B$66,(IF(J26=Legend!$A$67,Legend!$B$67,IF(J26=Legend!$A$68, Legend!$B$68, IF(J26=Legend!$A$69, Legend!$B$69, IF(J26=Legend!$A$70, Legend!$B$70, IF(J26=Legend!$A$71, Legend!$B$71, IF(J26=Legend!$A$72, Legend!$B$72, (IF(J26=Legend!$A$73, Legend!$B$73, IF(J26=Legend!$A$74, Legend!$B$74, "")))))))))))</f>
        <v>5</v>
      </c>
      <c r="L26" s="8">
        <v>5</v>
      </c>
      <c r="M26" s="8"/>
      <c r="N26" s="8"/>
      <c r="O26" s="8"/>
    </row>
    <row r="27" spans="1:15" ht="21" customHeight="1" x14ac:dyDescent="0.45">
      <c r="A27" s="7">
        <v>9014</v>
      </c>
      <c r="B27" s="8" t="s">
        <v>15</v>
      </c>
      <c r="C27" s="8" t="s">
        <v>16</v>
      </c>
      <c r="D27" s="8">
        <v>3</v>
      </c>
      <c r="E27" s="8">
        <v>5</v>
      </c>
      <c r="F27" s="8">
        <v>2</v>
      </c>
      <c r="G27" s="7">
        <v>9036</v>
      </c>
      <c r="H27" s="8" t="s">
        <v>17</v>
      </c>
      <c r="I27" s="8">
        <v>1</v>
      </c>
      <c r="J27" s="8" t="s">
        <v>21</v>
      </c>
      <c r="K27" s="9">
        <f>IF(J27=Legend!$A$66,Legend!$B$66,(IF(J27=Legend!$A$67,Legend!$B$67,IF(J27=Legend!$A$68, Legend!$B$68, IF(J27=Legend!$A$69, Legend!$B$69, IF(J27=Legend!$A$70, Legend!$B$70, IF(J27=Legend!$A$71, Legend!$B$71, IF(J27=Legend!$A$72, Legend!$B$72, (IF(J27=Legend!$A$73, Legend!$B$73, IF(J27=Legend!$A$74, Legend!$B$74, "")))))))))))</f>
        <v>25</v>
      </c>
      <c r="L27" s="8">
        <v>26</v>
      </c>
      <c r="M27" s="8"/>
      <c r="N27" s="8"/>
      <c r="O27" s="8" t="s">
        <v>27</v>
      </c>
    </row>
    <row r="28" spans="1:15" ht="21" customHeight="1" x14ac:dyDescent="0.45">
      <c r="A28" s="7">
        <v>9014</v>
      </c>
      <c r="B28" s="8" t="s">
        <v>15</v>
      </c>
      <c r="C28" s="8" t="s">
        <v>16</v>
      </c>
      <c r="D28" s="8">
        <v>3</v>
      </c>
      <c r="E28" s="8">
        <v>5</v>
      </c>
      <c r="F28" s="8">
        <v>2</v>
      </c>
      <c r="G28" s="7">
        <v>9036</v>
      </c>
      <c r="H28" s="8" t="s">
        <v>17</v>
      </c>
      <c r="I28" s="8">
        <v>1</v>
      </c>
      <c r="J28" s="8" t="s">
        <v>22</v>
      </c>
      <c r="K28" s="9">
        <f>IF(J28=Legend!$A$66,Legend!$B$66,(IF(J28=Legend!$A$67,Legend!$B$67,IF(J28=Legend!$A$68, Legend!$B$68, IF(J28=Legend!$A$69, Legend!$B$69, IF(J28=Legend!$A$70, Legend!$B$70, IF(J28=Legend!$A$71, Legend!$B$71, IF(J28=Legend!$A$72, Legend!$B$72, (IF(J28=Legend!$A$73, Legend!$B$73, IF(J28=Legend!$A$74, Legend!$B$74, "")))))))))))</f>
        <v>120</v>
      </c>
      <c r="L28" s="8">
        <v>120</v>
      </c>
      <c r="M28" s="8"/>
      <c r="N28" s="8"/>
      <c r="O28" s="8"/>
    </row>
    <row r="29" spans="1:15" ht="21" customHeight="1" x14ac:dyDescent="0.45">
      <c r="A29" s="7">
        <v>9014</v>
      </c>
      <c r="B29" s="8" t="s">
        <v>15</v>
      </c>
      <c r="C29" s="8" t="s">
        <v>28</v>
      </c>
      <c r="D29" s="8">
        <v>3</v>
      </c>
      <c r="E29" s="8">
        <v>3</v>
      </c>
      <c r="F29" s="8">
        <v>2</v>
      </c>
      <c r="G29" s="7">
        <v>9036</v>
      </c>
      <c r="H29" s="8" t="s">
        <v>17</v>
      </c>
      <c r="I29" s="8">
        <v>1</v>
      </c>
      <c r="J29" s="8" t="s">
        <v>18</v>
      </c>
      <c r="K29" s="9">
        <f>IF(J29=Legend!$A$66,Legend!$B$66,(IF(J29=Legend!$A$67,Legend!$B$67,IF(J29=Legend!$A$68, Legend!$B$68, IF(J29=Legend!$A$69, Legend!$B$69, IF(J29=Legend!$A$70, Legend!$B$70, IF(J29=Legend!$A$71, Legend!$B$71, IF(J29=Legend!$A$72, Legend!$B$72, (IF(J29=Legend!$A$73, Legend!$B$73, IF(J29=Legend!$A$74, Legend!$B$74, "")))))))))))</f>
        <v>5</v>
      </c>
      <c r="L29" s="8">
        <v>5</v>
      </c>
      <c r="M29" s="8">
        <v>1</v>
      </c>
      <c r="N29" s="8" t="s">
        <v>19</v>
      </c>
      <c r="O29" s="8"/>
    </row>
    <row r="30" spans="1:15" ht="21" customHeight="1" x14ac:dyDescent="0.45">
      <c r="A30" s="7">
        <v>9014</v>
      </c>
      <c r="B30" s="8" t="s">
        <v>15</v>
      </c>
      <c r="C30" s="8" t="s">
        <v>28</v>
      </c>
      <c r="D30" s="8">
        <v>3</v>
      </c>
      <c r="E30" s="8">
        <v>3</v>
      </c>
      <c r="F30" s="8">
        <v>2</v>
      </c>
      <c r="G30" s="7">
        <v>9036</v>
      </c>
      <c r="H30" s="8" t="s">
        <v>17</v>
      </c>
      <c r="I30" s="8">
        <v>1</v>
      </c>
      <c r="J30" s="8" t="s">
        <v>21</v>
      </c>
      <c r="K30" s="9">
        <f>IF(J30=Legend!$A$66,Legend!$B$66,(IF(J30=Legend!$A$67,Legend!$B$67,IF(J30=Legend!$A$68, Legend!$B$68, IF(J30=Legend!$A$69, Legend!$B$69, IF(J30=Legend!$A$70, Legend!$B$70, IF(J30=Legend!$A$71, Legend!$B$71, IF(J30=Legend!$A$72, Legend!$B$72, (IF(J30=Legend!$A$73, Legend!$B$73, IF(J30=Legend!$A$74, Legend!$B$74, "")))))))))))</f>
        <v>25</v>
      </c>
      <c r="L30" s="8">
        <v>25</v>
      </c>
      <c r="M30" s="8"/>
      <c r="N30" s="8"/>
      <c r="O30" s="8"/>
    </row>
    <row r="31" spans="1:15" ht="21" customHeight="1" x14ac:dyDescent="0.45">
      <c r="A31" s="7">
        <v>9014</v>
      </c>
      <c r="B31" s="8" t="s">
        <v>15</v>
      </c>
      <c r="C31" s="8" t="s">
        <v>28</v>
      </c>
      <c r="D31" s="8">
        <v>3</v>
      </c>
      <c r="E31" s="8">
        <v>3</v>
      </c>
      <c r="F31" s="8">
        <v>2</v>
      </c>
      <c r="G31" s="7">
        <v>9036</v>
      </c>
      <c r="H31" s="8" t="s">
        <v>17</v>
      </c>
      <c r="I31" s="8">
        <v>1</v>
      </c>
      <c r="J31" s="8" t="s">
        <v>22</v>
      </c>
      <c r="K31" s="9">
        <f>IF(J31=Legend!$A$66,Legend!$B$66,(IF(J31=Legend!$A$67,Legend!$B$67,IF(J31=Legend!$A$68, Legend!$B$68, IF(J31=Legend!$A$69, Legend!$B$69, IF(J31=Legend!$A$70, Legend!$B$70, IF(J31=Legend!$A$71, Legend!$B$71, IF(J31=Legend!$A$72, Legend!$B$72, (IF(J31=Legend!$A$73, Legend!$B$73, IF(J31=Legend!$A$74, Legend!$B$74, "")))))))))))</f>
        <v>120</v>
      </c>
      <c r="L31" s="8">
        <v>118</v>
      </c>
      <c r="M31" s="8">
        <v>1</v>
      </c>
      <c r="N31" s="8" t="s">
        <v>25</v>
      </c>
      <c r="O31" s="8"/>
    </row>
    <row r="32" spans="1:15" ht="21" customHeight="1" x14ac:dyDescent="0.45">
      <c r="A32" s="7">
        <v>9014</v>
      </c>
      <c r="B32" s="8" t="s">
        <v>15</v>
      </c>
      <c r="C32" s="8" t="s">
        <v>24</v>
      </c>
      <c r="D32" s="8">
        <v>3</v>
      </c>
      <c r="E32" s="8">
        <v>5</v>
      </c>
      <c r="F32" s="8">
        <v>1</v>
      </c>
      <c r="G32" s="7">
        <v>9036</v>
      </c>
      <c r="H32" s="8" t="s">
        <v>17</v>
      </c>
      <c r="I32" s="8">
        <v>1</v>
      </c>
      <c r="J32" s="8" t="s">
        <v>18</v>
      </c>
      <c r="K32" s="9">
        <f>IF(J32=Legend!$A$66,Legend!$B$66,(IF(J32=Legend!$A$67,Legend!$B$67,IF(J32=Legend!$A$68, Legend!$B$68, IF(J32=Legend!$A$69, Legend!$B$69, IF(J32=Legend!$A$70, Legend!$B$70, IF(J32=Legend!$A$71, Legend!$B$71, IF(J32=Legend!$A$72, Legend!$B$72, (IF(J32=Legend!$A$73, Legend!$B$73, IF(J32=Legend!$A$74, Legend!$B$74, "")))))))))))</f>
        <v>5</v>
      </c>
      <c r="L32" s="8">
        <v>0</v>
      </c>
      <c r="M32" s="8"/>
      <c r="N32" s="8"/>
      <c r="O32" s="8"/>
    </row>
    <row r="33" spans="1:15" ht="21" customHeight="1" x14ac:dyDescent="0.45">
      <c r="A33" s="7">
        <v>9014</v>
      </c>
      <c r="B33" s="8" t="s">
        <v>15</v>
      </c>
      <c r="C33" s="8" t="s">
        <v>24</v>
      </c>
      <c r="D33" s="8">
        <v>3</v>
      </c>
      <c r="E33" s="8">
        <v>5</v>
      </c>
      <c r="F33" s="8">
        <v>1</v>
      </c>
      <c r="G33" s="7">
        <v>9036</v>
      </c>
      <c r="H33" s="8" t="s">
        <v>17</v>
      </c>
      <c r="I33" s="8">
        <v>1</v>
      </c>
      <c r="J33" s="8" t="s">
        <v>21</v>
      </c>
      <c r="K33" s="9">
        <f>IF(J33=Legend!$A$66,Legend!$B$66,(IF(J33=Legend!$A$67,Legend!$B$67,IF(J33=Legend!$A$68, Legend!$B$68, IF(J33=Legend!$A$69, Legend!$B$69, IF(J33=Legend!$A$70, Legend!$B$70, IF(J33=Legend!$A$71, Legend!$B$71, IF(J33=Legend!$A$72, Legend!$B$72, (IF(J33=Legend!$A$73, Legend!$B$73, IF(J33=Legend!$A$74, Legend!$B$74, "")))))))))))</f>
        <v>25</v>
      </c>
      <c r="L33" s="8">
        <v>13</v>
      </c>
      <c r="M33" s="8">
        <v>13</v>
      </c>
      <c r="N33" s="8" t="s">
        <v>26</v>
      </c>
      <c r="O33" s="8"/>
    </row>
    <row r="34" spans="1:15" ht="21" customHeight="1" x14ac:dyDescent="0.45">
      <c r="A34" s="7">
        <v>9014</v>
      </c>
      <c r="B34" s="8" t="s">
        <v>15</v>
      </c>
      <c r="C34" s="8" t="s">
        <v>24</v>
      </c>
      <c r="D34" s="8">
        <v>3</v>
      </c>
      <c r="E34" s="8">
        <v>5</v>
      </c>
      <c r="F34" s="8">
        <v>1</v>
      </c>
      <c r="G34" s="7">
        <v>9036</v>
      </c>
      <c r="H34" s="8" t="s">
        <v>17</v>
      </c>
      <c r="I34" s="8">
        <v>1</v>
      </c>
      <c r="J34" s="8" t="s">
        <v>22</v>
      </c>
      <c r="K34" s="9">
        <f>IF(J34=Legend!$A$66,Legend!$B$66,(IF(J34=Legend!$A$67,Legend!$B$67,IF(J34=Legend!$A$68, Legend!$B$68, IF(J34=Legend!$A$69, Legend!$B$69, IF(J34=Legend!$A$70, Legend!$B$70, IF(J34=Legend!$A$71, Legend!$B$71, IF(J34=Legend!$A$72, Legend!$B$72, (IF(J34=Legend!$A$73, Legend!$B$73, IF(J34=Legend!$A$74, Legend!$B$74, "")))))))))))</f>
        <v>120</v>
      </c>
      <c r="L34" s="8">
        <v>106</v>
      </c>
      <c r="M34" s="8">
        <v>106</v>
      </c>
      <c r="N34" s="8" t="s">
        <v>26</v>
      </c>
      <c r="O34" s="8"/>
    </row>
    <row r="35" spans="1:15" ht="21" customHeight="1" x14ac:dyDescent="0.45">
      <c r="A35" s="7">
        <v>9014</v>
      </c>
      <c r="B35" s="8" t="s">
        <v>15</v>
      </c>
      <c r="C35" s="8" t="s">
        <v>16</v>
      </c>
      <c r="D35" s="8">
        <v>3</v>
      </c>
      <c r="E35" s="8">
        <v>1</v>
      </c>
      <c r="F35" s="8">
        <v>1</v>
      </c>
      <c r="G35" s="7">
        <v>9036</v>
      </c>
      <c r="H35" s="8" t="s">
        <v>17</v>
      </c>
      <c r="I35" s="8">
        <v>1</v>
      </c>
      <c r="J35" s="8" t="s">
        <v>18</v>
      </c>
      <c r="K35" s="9">
        <f>IF(J35=Legend!$A$66,Legend!$B$66,(IF(J35=Legend!$A$67,Legend!$B$67,IF(J35=Legend!$A$68, Legend!$B$68, IF(J35=Legend!$A$69, Legend!$B$69, IF(J35=Legend!$A$70, Legend!$B$70, IF(J35=Legend!$A$71, Legend!$B$71, IF(J35=Legend!$A$72, Legend!$B$72, (IF(J35=Legend!$A$73, Legend!$B$73, IF(J35=Legend!$A$74, Legend!$B$74, "")))))))))))</f>
        <v>5</v>
      </c>
      <c r="L35" s="8">
        <v>0</v>
      </c>
      <c r="M35" s="8"/>
      <c r="N35" s="8"/>
      <c r="O35" s="8" t="s">
        <v>23</v>
      </c>
    </row>
    <row r="36" spans="1:15" ht="21" customHeight="1" x14ac:dyDescent="0.45">
      <c r="A36" s="7">
        <v>9014</v>
      </c>
      <c r="B36" s="8" t="s">
        <v>15</v>
      </c>
      <c r="C36" s="8" t="s">
        <v>16</v>
      </c>
      <c r="D36" s="8">
        <v>3</v>
      </c>
      <c r="E36" s="8">
        <v>1</v>
      </c>
      <c r="F36" s="8">
        <v>1</v>
      </c>
      <c r="G36" s="7">
        <v>9036</v>
      </c>
      <c r="H36" s="8" t="s">
        <v>17</v>
      </c>
      <c r="I36" s="8">
        <v>1</v>
      </c>
      <c r="J36" s="8" t="s">
        <v>21</v>
      </c>
      <c r="K36" s="9">
        <f>IF(J36=Legend!$A$66,Legend!$B$66,(IF(J36=Legend!$A$67,Legend!$B$67,IF(J36=Legend!$A$68, Legend!$B$68, IF(J36=Legend!$A$69, Legend!$B$69, IF(J36=Legend!$A$70, Legend!$B$70, IF(J36=Legend!$A$71, Legend!$B$71, IF(J36=Legend!$A$72, Legend!$B$72, (IF(J36=Legend!$A$73, Legend!$B$73, IF(J36=Legend!$A$74, Legend!$B$74, "")))))))))))</f>
        <v>25</v>
      </c>
      <c r="L36" s="8">
        <v>19</v>
      </c>
      <c r="M36" s="8"/>
      <c r="N36" s="8"/>
      <c r="O36" s="8" t="s">
        <v>23</v>
      </c>
    </row>
    <row r="37" spans="1:15" ht="21" customHeight="1" x14ac:dyDescent="0.45">
      <c r="A37" s="7">
        <v>9014</v>
      </c>
      <c r="B37" s="8" t="s">
        <v>15</v>
      </c>
      <c r="C37" s="8" t="s">
        <v>16</v>
      </c>
      <c r="D37" s="8">
        <v>3</v>
      </c>
      <c r="E37" s="8">
        <v>1</v>
      </c>
      <c r="F37" s="8">
        <v>1</v>
      </c>
      <c r="G37" s="7">
        <v>9036</v>
      </c>
      <c r="H37" s="8" t="s">
        <v>17</v>
      </c>
      <c r="I37" s="8">
        <v>1</v>
      </c>
      <c r="J37" s="8" t="s">
        <v>22</v>
      </c>
      <c r="K37" s="9">
        <f>IF(J37=Legend!$A$66,Legend!$B$66,(IF(J37=Legend!$A$67,Legend!$B$67,IF(J37=Legend!$A$68, Legend!$B$68, IF(J37=Legend!$A$69, Legend!$B$69, IF(J37=Legend!$A$70, Legend!$B$70, IF(J37=Legend!$A$71, Legend!$B$71, IF(J37=Legend!$A$72, Legend!$B$72, (IF(J37=Legend!$A$73, Legend!$B$73, IF(J37=Legend!$A$74, Legend!$B$74, "")))))))))))</f>
        <v>120</v>
      </c>
      <c r="L37" s="8">
        <v>93</v>
      </c>
      <c r="M37" s="8">
        <v>76</v>
      </c>
      <c r="N37" s="8"/>
      <c r="O37" s="8" t="s">
        <v>23</v>
      </c>
    </row>
    <row r="38" spans="1:15" ht="21" customHeight="1" x14ac:dyDescent="0.45">
      <c r="A38" s="7">
        <v>9014</v>
      </c>
      <c r="B38" s="8" t="s">
        <v>15</v>
      </c>
      <c r="C38" s="8" t="s">
        <v>16</v>
      </c>
      <c r="D38" s="8">
        <v>3</v>
      </c>
      <c r="E38" s="8">
        <v>8</v>
      </c>
      <c r="F38" s="8">
        <v>2</v>
      </c>
      <c r="G38" s="7">
        <v>9036</v>
      </c>
      <c r="H38" s="8" t="s">
        <v>17</v>
      </c>
      <c r="I38" s="8">
        <v>1</v>
      </c>
      <c r="J38" s="8" t="s">
        <v>18</v>
      </c>
      <c r="K38" s="9">
        <f>IF(J38=Legend!$A$66,Legend!$B$66,(IF(J38=Legend!$A$67,Legend!$B$67,IF(J38=Legend!$A$68, Legend!$B$68, IF(J38=Legend!$A$69, Legend!$B$69, IF(J38=Legend!$A$70, Legend!$B$70, IF(J38=Legend!$A$71, Legend!$B$71, IF(J38=Legend!$A$72, Legend!$B$72, (IF(J38=Legend!$A$73, Legend!$B$73, IF(J38=Legend!$A$74, Legend!$B$74, "")))))))))))</f>
        <v>5</v>
      </c>
      <c r="L38" s="8">
        <v>5</v>
      </c>
      <c r="M38" s="8"/>
      <c r="N38" s="8"/>
      <c r="O38" s="8" t="s">
        <v>23</v>
      </c>
    </row>
    <row r="39" spans="1:15" ht="21" customHeight="1" x14ac:dyDescent="0.45">
      <c r="A39" s="7">
        <v>9014</v>
      </c>
      <c r="B39" s="8" t="s">
        <v>15</v>
      </c>
      <c r="C39" s="8" t="s">
        <v>16</v>
      </c>
      <c r="D39" s="8">
        <v>3</v>
      </c>
      <c r="E39" s="8">
        <v>8</v>
      </c>
      <c r="F39" s="8">
        <v>2</v>
      </c>
      <c r="G39" s="7">
        <v>9036</v>
      </c>
      <c r="H39" s="8" t="s">
        <v>17</v>
      </c>
      <c r="I39" s="8">
        <v>1</v>
      </c>
      <c r="J39" s="8" t="s">
        <v>21</v>
      </c>
      <c r="K39" s="9">
        <f>IF(J39=Legend!$A$66,Legend!$B$66,(IF(J39=Legend!$A$67,Legend!$B$67,IF(J39=Legend!$A$68, Legend!$B$68, IF(J39=Legend!$A$69, Legend!$B$69, IF(J39=Legend!$A$70, Legend!$B$70, IF(J39=Legend!$A$71, Legend!$B$71, IF(J39=Legend!$A$72, Legend!$B$72, (IF(J39=Legend!$A$73, Legend!$B$73, IF(J39=Legend!$A$74, Legend!$B$74, "")))))))))))</f>
        <v>25</v>
      </c>
      <c r="L39" s="8">
        <v>25</v>
      </c>
      <c r="M39" s="8"/>
      <c r="N39" s="8"/>
      <c r="O39" s="8" t="s">
        <v>23</v>
      </c>
    </row>
    <row r="40" spans="1:15" ht="21" customHeight="1" x14ac:dyDescent="0.45">
      <c r="A40" s="7">
        <v>9014</v>
      </c>
      <c r="B40" s="8" t="s">
        <v>15</v>
      </c>
      <c r="C40" s="8" t="s">
        <v>16</v>
      </c>
      <c r="D40" s="8">
        <v>3</v>
      </c>
      <c r="E40" s="8">
        <v>8</v>
      </c>
      <c r="F40" s="8">
        <v>2</v>
      </c>
      <c r="G40" s="7">
        <v>9036</v>
      </c>
      <c r="H40" s="8" t="s">
        <v>17</v>
      </c>
      <c r="I40" s="8">
        <v>1</v>
      </c>
      <c r="J40" s="8" t="s">
        <v>22</v>
      </c>
      <c r="K40" s="9">
        <f>IF(J40=Legend!$A$66,Legend!$B$66,(IF(J40=Legend!$A$67,Legend!$B$67,IF(J40=Legend!$A$68, Legend!$B$68, IF(J40=Legend!$A$69, Legend!$B$69, IF(J40=Legend!$A$70, Legend!$B$70, IF(J40=Legend!$A$71, Legend!$B$71, IF(J40=Legend!$A$72, Legend!$B$72, (IF(J40=Legend!$A$73, Legend!$B$73, IF(J40=Legend!$A$74, Legend!$B$74, "")))))))))))</f>
        <v>120</v>
      </c>
      <c r="L40" s="8">
        <v>120</v>
      </c>
      <c r="M40" s="8"/>
      <c r="N40" s="8"/>
      <c r="O40" s="8" t="s">
        <v>23</v>
      </c>
    </row>
    <row r="41" spans="1:15" ht="21" customHeight="1" x14ac:dyDescent="0.45">
      <c r="A41" s="7">
        <v>9014</v>
      </c>
      <c r="B41" s="8" t="s">
        <v>15</v>
      </c>
      <c r="C41" s="8" t="s">
        <v>24</v>
      </c>
      <c r="D41" s="8">
        <v>3</v>
      </c>
      <c r="E41" s="8">
        <v>4</v>
      </c>
      <c r="F41" s="8">
        <v>2</v>
      </c>
      <c r="G41" s="7">
        <v>9036</v>
      </c>
      <c r="H41" s="8" t="s">
        <v>17</v>
      </c>
      <c r="I41" s="8">
        <v>1</v>
      </c>
      <c r="J41" s="8" t="s">
        <v>18</v>
      </c>
      <c r="K41" s="9">
        <f>IF(J41=Legend!$A$66,Legend!$B$66,(IF(J41=Legend!$A$67,Legend!$B$67,IF(J41=Legend!$A$68, Legend!$B$68, IF(J41=Legend!$A$69, Legend!$B$69, IF(J41=Legend!$A$70, Legend!$B$70, IF(J41=Legend!$A$71, Legend!$B$71, IF(J41=Legend!$A$72, Legend!$B$72, (IF(J41=Legend!$A$73, Legend!$B$73, IF(J41=Legend!$A$74, Legend!$B$74, "")))))))))))</f>
        <v>5</v>
      </c>
      <c r="L41" s="8">
        <v>5</v>
      </c>
      <c r="M41" s="8"/>
      <c r="N41" s="8"/>
      <c r="O41" s="8"/>
    </row>
    <row r="42" spans="1:15" ht="21" customHeight="1" x14ac:dyDescent="0.45">
      <c r="A42" s="7">
        <v>9014</v>
      </c>
      <c r="B42" s="8" t="s">
        <v>15</v>
      </c>
      <c r="C42" s="8" t="s">
        <v>24</v>
      </c>
      <c r="D42" s="8">
        <v>3</v>
      </c>
      <c r="E42" s="8">
        <v>4</v>
      </c>
      <c r="F42" s="8">
        <v>2</v>
      </c>
      <c r="G42" s="7">
        <v>9036</v>
      </c>
      <c r="H42" s="8" t="s">
        <v>17</v>
      </c>
      <c r="I42" s="8">
        <v>1</v>
      </c>
      <c r="J42" s="8" t="s">
        <v>21</v>
      </c>
      <c r="K42" s="9">
        <f>IF(J42=Legend!$A$66,Legend!$B$66,(IF(J42=Legend!$A$67,Legend!$B$67,IF(J42=Legend!$A$68, Legend!$B$68, IF(J42=Legend!$A$69, Legend!$B$69, IF(J42=Legend!$A$70, Legend!$B$70, IF(J42=Legend!$A$71, Legend!$B$71, IF(J42=Legend!$A$72, Legend!$B$72, (IF(J42=Legend!$A$73, Legend!$B$73, IF(J42=Legend!$A$74, Legend!$B$74, "")))))))))))</f>
        <v>25</v>
      </c>
      <c r="L42" s="8">
        <v>25</v>
      </c>
      <c r="M42" s="8"/>
      <c r="N42" s="8"/>
      <c r="O42" s="8"/>
    </row>
    <row r="43" spans="1:15" ht="21" customHeight="1" x14ac:dyDescent="0.45">
      <c r="A43" s="7">
        <v>9014</v>
      </c>
      <c r="B43" s="8" t="s">
        <v>15</v>
      </c>
      <c r="C43" s="8" t="s">
        <v>24</v>
      </c>
      <c r="D43" s="8">
        <v>3</v>
      </c>
      <c r="E43" s="8">
        <v>4</v>
      </c>
      <c r="F43" s="8">
        <v>2</v>
      </c>
      <c r="G43" s="7">
        <v>9036</v>
      </c>
      <c r="H43" s="8" t="s">
        <v>17</v>
      </c>
      <c r="I43" s="8">
        <v>1</v>
      </c>
      <c r="J43" s="8" t="s">
        <v>22</v>
      </c>
      <c r="K43" s="9">
        <f>IF(J43=Legend!$A$66,Legend!$B$66,(IF(J43=Legend!$A$67,Legend!$B$67,IF(J43=Legend!$A$68, Legend!$B$68, IF(J43=Legend!$A$69, Legend!$B$69, IF(J43=Legend!$A$70, Legend!$B$70, IF(J43=Legend!$A$71, Legend!$B$71, IF(J43=Legend!$A$72, Legend!$B$72, (IF(J43=Legend!$A$73, Legend!$B$73, IF(J43=Legend!$A$74, Legend!$B$74, "")))))))))))</f>
        <v>120</v>
      </c>
      <c r="L43" s="8">
        <v>117</v>
      </c>
      <c r="M43" s="8">
        <v>1</v>
      </c>
      <c r="N43" s="8" t="s">
        <v>19</v>
      </c>
      <c r="O43" s="8"/>
    </row>
    <row r="44" spans="1:15" ht="21" customHeight="1" x14ac:dyDescent="0.45">
      <c r="A44" s="7">
        <v>9014</v>
      </c>
      <c r="B44" s="8" t="s">
        <v>15</v>
      </c>
      <c r="C44" s="8" t="s">
        <v>24</v>
      </c>
      <c r="D44" s="8">
        <v>3</v>
      </c>
      <c r="E44" s="8">
        <v>2</v>
      </c>
      <c r="F44" s="8">
        <v>1</v>
      </c>
      <c r="G44" s="7">
        <v>9036</v>
      </c>
      <c r="H44" s="8" t="s">
        <v>17</v>
      </c>
      <c r="I44" s="8">
        <v>1</v>
      </c>
      <c r="J44" s="8" t="s">
        <v>18</v>
      </c>
      <c r="K44" s="9">
        <f>IF(J44=Legend!$A$66,Legend!$B$66,(IF(J44=Legend!$A$67,Legend!$B$67,IF(J44=Legend!$A$68, Legend!$B$68, IF(J44=Legend!$A$69, Legend!$B$69, IF(J44=Legend!$A$70, Legend!$B$70, IF(J44=Legend!$A$71, Legend!$B$71, IF(J44=Legend!$A$72, Legend!$B$72, (IF(J44=Legend!$A$73, Legend!$B$73, IF(J44=Legend!$A$74, Legend!$B$74, "")))))))))))</f>
        <v>5</v>
      </c>
      <c r="L44" s="4">
        <v>0</v>
      </c>
      <c r="M44" s="8"/>
      <c r="N44" s="8"/>
      <c r="O44" s="8"/>
    </row>
    <row r="45" spans="1:15" ht="21" customHeight="1" x14ac:dyDescent="0.45">
      <c r="A45" s="7">
        <v>9014</v>
      </c>
      <c r="B45" s="8" t="s">
        <v>15</v>
      </c>
      <c r="C45" s="8" t="s">
        <v>24</v>
      </c>
      <c r="D45" s="8">
        <v>3</v>
      </c>
      <c r="E45" s="8">
        <v>2</v>
      </c>
      <c r="F45" s="8">
        <v>1</v>
      </c>
      <c r="G45" s="7">
        <v>9036</v>
      </c>
      <c r="H45" s="8" t="s">
        <v>17</v>
      </c>
      <c r="I45" s="8">
        <v>1</v>
      </c>
      <c r="J45" s="8" t="s">
        <v>21</v>
      </c>
      <c r="K45" s="9">
        <f>IF(J45=Legend!$A$66,Legend!$B$66,(IF(J45=Legend!$A$67,Legend!$B$67,IF(J45=Legend!$A$68, Legend!$B$68, IF(J45=Legend!$A$69, Legend!$B$69, IF(J45=Legend!$A$70, Legend!$B$70, IF(J45=Legend!$A$71, Legend!$B$71, IF(J45=Legend!$A$72, Legend!$B$72, (IF(J45=Legend!$A$73, Legend!$B$73, IF(J45=Legend!$A$74, Legend!$B$74, "")))))))))))</f>
        <v>25</v>
      </c>
      <c r="L45" s="8">
        <v>20</v>
      </c>
      <c r="M45" s="8">
        <v>20</v>
      </c>
      <c r="N45" s="8" t="s">
        <v>26</v>
      </c>
      <c r="O45" s="8"/>
    </row>
    <row r="46" spans="1:15" ht="21" customHeight="1" x14ac:dyDescent="0.45">
      <c r="A46" s="7">
        <v>9014</v>
      </c>
      <c r="B46" s="8" t="s">
        <v>15</v>
      </c>
      <c r="C46" s="8" t="s">
        <v>24</v>
      </c>
      <c r="D46" s="8">
        <v>3</v>
      </c>
      <c r="E46" s="8">
        <v>2</v>
      </c>
      <c r="F46" s="8">
        <v>1</v>
      </c>
      <c r="G46" s="7">
        <v>9036</v>
      </c>
      <c r="H46" s="8" t="s">
        <v>17</v>
      </c>
      <c r="I46" s="8">
        <v>1</v>
      </c>
      <c r="J46" s="8" t="s">
        <v>22</v>
      </c>
      <c r="K46" s="9">
        <f>IF(J46=Legend!$A$66,Legend!$B$66,(IF(J46=Legend!$A$67,Legend!$B$67,IF(J46=Legend!$A$68, Legend!$B$68, IF(J46=Legend!$A$69, Legend!$B$69, IF(J46=Legend!$A$70, Legend!$B$70, IF(J46=Legend!$A$71, Legend!$B$71, IF(J46=Legend!$A$72, Legend!$B$72, (IF(J46=Legend!$A$73, Legend!$B$73, IF(J46=Legend!$A$74, Legend!$B$74, "")))))))))))</f>
        <v>120</v>
      </c>
      <c r="L46" s="8">
        <v>115</v>
      </c>
      <c r="M46" s="8">
        <v>115</v>
      </c>
      <c r="N46" s="8" t="s">
        <v>26</v>
      </c>
      <c r="O46" s="8"/>
    </row>
    <row r="47" spans="1:15" ht="21" customHeight="1" x14ac:dyDescent="0.45">
      <c r="A47" s="7">
        <v>9014</v>
      </c>
      <c r="B47" s="8" t="s">
        <v>15</v>
      </c>
      <c r="C47" s="8" t="s">
        <v>16</v>
      </c>
      <c r="D47" s="8">
        <v>3</v>
      </c>
      <c r="E47" s="8">
        <v>7</v>
      </c>
      <c r="F47" s="8">
        <v>2</v>
      </c>
      <c r="G47" s="7">
        <v>9036</v>
      </c>
      <c r="H47" s="8" t="s">
        <v>17</v>
      </c>
      <c r="I47" s="8">
        <v>1</v>
      </c>
      <c r="J47" s="8" t="s">
        <v>18</v>
      </c>
      <c r="K47" s="9">
        <f>IF(J47=Legend!$A$66,Legend!$B$66,(IF(J47=Legend!$A$67,Legend!$B$67,IF(J47=Legend!$A$68, Legend!$B$68, IF(J47=Legend!$A$69, Legend!$B$69, IF(J47=Legend!$A$70, Legend!$B$70, IF(J47=Legend!$A$71, Legend!$B$71, IF(J47=Legend!$A$72, Legend!$B$72, (IF(J47=Legend!$A$73, Legend!$B$73, IF(J47=Legend!$A$74, Legend!$B$74, "")))))))))))</f>
        <v>5</v>
      </c>
      <c r="L47" s="8">
        <v>5</v>
      </c>
      <c r="M47" s="8">
        <v>1</v>
      </c>
      <c r="N47" s="8" t="s">
        <v>25</v>
      </c>
      <c r="O47" s="8"/>
    </row>
    <row r="48" spans="1:15" ht="21" customHeight="1" x14ac:dyDescent="0.45">
      <c r="A48" s="7">
        <v>9014</v>
      </c>
      <c r="B48" s="8" t="s">
        <v>15</v>
      </c>
      <c r="C48" s="8" t="s">
        <v>16</v>
      </c>
      <c r="D48" s="8">
        <v>3</v>
      </c>
      <c r="E48" s="8">
        <v>7</v>
      </c>
      <c r="F48" s="8">
        <v>2</v>
      </c>
      <c r="G48" s="7">
        <v>9036</v>
      </c>
      <c r="H48" s="8" t="s">
        <v>17</v>
      </c>
      <c r="I48" s="8">
        <v>1</v>
      </c>
      <c r="J48" s="8" t="s">
        <v>21</v>
      </c>
      <c r="K48" s="9">
        <f>IF(J48=Legend!$A$66,Legend!$B$66,(IF(J48=Legend!$A$67,Legend!$B$67,IF(J48=Legend!$A$68, Legend!$B$68, IF(J48=Legend!$A$69, Legend!$B$69, IF(J48=Legend!$A$70, Legend!$B$70, IF(J48=Legend!$A$71, Legend!$B$71, IF(J48=Legend!$A$72, Legend!$B$72, (IF(J48=Legend!$A$73, Legend!$B$73, IF(J48=Legend!$A$74, Legend!$B$74, "")))))))))))</f>
        <v>25</v>
      </c>
      <c r="L48" s="8">
        <v>25</v>
      </c>
      <c r="M48" s="8"/>
      <c r="N48" s="8"/>
      <c r="O48" s="8"/>
    </row>
    <row r="49" spans="1:15" ht="21" customHeight="1" x14ac:dyDescent="0.45">
      <c r="A49" s="7">
        <v>9014</v>
      </c>
      <c r="B49" s="8" t="s">
        <v>15</v>
      </c>
      <c r="C49" s="8" t="s">
        <v>16</v>
      </c>
      <c r="D49" s="8">
        <v>3</v>
      </c>
      <c r="E49" s="8">
        <v>7</v>
      </c>
      <c r="F49" s="8">
        <v>2</v>
      </c>
      <c r="G49" s="7">
        <v>9036</v>
      </c>
      <c r="H49" s="8" t="s">
        <v>17</v>
      </c>
      <c r="I49" s="8">
        <v>1</v>
      </c>
      <c r="J49" s="8" t="s">
        <v>22</v>
      </c>
      <c r="K49" s="9">
        <f>IF(J49=Legend!$A$66,Legend!$B$66,(IF(J49=Legend!$A$67,Legend!$B$67,IF(J49=Legend!$A$68, Legend!$B$68, IF(J49=Legend!$A$69, Legend!$B$69, IF(J49=Legend!$A$70, Legend!$B$70, IF(J49=Legend!$A$71, Legend!$B$71, IF(J49=Legend!$A$72, Legend!$B$72, (IF(J49=Legend!$A$73, Legend!$B$73, IF(J49=Legend!$A$74, Legend!$B$74, "")))))))))))</f>
        <v>120</v>
      </c>
      <c r="L49" s="8">
        <v>120</v>
      </c>
      <c r="M49" s="8">
        <v>2</v>
      </c>
      <c r="N49" s="8" t="s">
        <v>19</v>
      </c>
      <c r="O49" s="8" t="s">
        <v>23</v>
      </c>
    </row>
    <row r="50" spans="1:15" ht="21" customHeight="1" x14ac:dyDescent="0.45">
      <c r="A50"/>
      <c r="B50"/>
      <c r="C50"/>
      <c r="D50"/>
      <c r="E50"/>
      <c r="F50"/>
      <c r="G50"/>
      <c r="H50"/>
      <c r="I50"/>
      <c r="J50"/>
      <c r="L50"/>
      <c r="M50"/>
      <c r="N50"/>
      <c r="O50"/>
    </row>
    <row r="51" spans="1:15" ht="21" customHeight="1" x14ac:dyDescent="0.45">
      <c r="A51"/>
      <c r="B51"/>
      <c r="C51"/>
      <c r="D51"/>
      <c r="E51"/>
      <c r="F51"/>
      <c r="G51"/>
      <c r="H51"/>
      <c r="I51"/>
      <c r="J51"/>
      <c r="L51"/>
      <c r="M51"/>
      <c r="N51"/>
      <c r="O51"/>
    </row>
    <row r="52" spans="1:15" ht="21" customHeight="1" x14ac:dyDescent="0.45">
      <c r="A52"/>
      <c r="B52"/>
      <c r="C52"/>
      <c r="D52"/>
      <c r="E52"/>
      <c r="F52"/>
      <c r="G52"/>
      <c r="H52"/>
      <c r="I52"/>
      <c r="J52"/>
      <c r="L52"/>
      <c r="M52"/>
      <c r="N52"/>
      <c r="O52"/>
    </row>
    <row r="53" spans="1:15" ht="21" customHeight="1" x14ac:dyDescent="0.45">
      <c r="A53"/>
      <c r="B53"/>
      <c r="C53"/>
      <c r="D53"/>
      <c r="E53"/>
      <c r="F53"/>
      <c r="G53"/>
      <c r="H53"/>
      <c r="I53"/>
      <c r="J53"/>
      <c r="L53"/>
      <c r="M53"/>
      <c r="N53"/>
      <c r="O53"/>
    </row>
    <row r="54" spans="1:15" ht="21" customHeight="1" x14ac:dyDescent="0.45">
      <c r="A54"/>
      <c r="B54"/>
      <c r="C54"/>
      <c r="D54"/>
      <c r="E54"/>
      <c r="F54"/>
      <c r="G54"/>
      <c r="H54"/>
      <c r="I54"/>
      <c r="J54"/>
      <c r="L54"/>
      <c r="M54"/>
      <c r="N54"/>
      <c r="O54"/>
    </row>
    <row r="55" spans="1:15" ht="21" customHeight="1" x14ac:dyDescent="0.45">
      <c r="A55"/>
      <c r="B55"/>
      <c r="C55"/>
      <c r="D55"/>
      <c r="E55"/>
      <c r="F55"/>
      <c r="G55"/>
      <c r="H55"/>
      <c r="I55"/>
      <c r="J55"/>
      <c r="L55"/>
      <c r="M55"/>
      <c r="N55"/>
      <c r="O55"/>
    </row>
    <row r="56" spans="1:15" ht="21" customHeight="1" x14ac:dyDescent="0.45">
      <c r="A56"/>
      <c r="B56"/>
      <c r="C56"/>
      <c r="D56"/>
      <c r="E56"/>
      <c r="F56"/>
      <c r="G56"/>
      <c r="H56"/>
      <c r="I56"/>
      <c r="J56"/>
      <c r="L56"/>
      <c r="M56"/>
      <c r="N56"/>
      <c r="O56"/>
    </row>
    <row r="57" spans="1:15" ht="21" customHeight="1" x14ac:dyDescent="0.45">
      <c r="A57"/>
      <c r="B57"/>
      <c r="C57"/>
      <c r="D57"/>
      <c r="E57"/>
      <c r="F57"/>
      <c r="G57"/>
      <c r="H57"/>
      <c r="I57"/>
      <c r="J57"/>
      <c r="L57"/>
      <c r="M57"/>
      <c r="N57"/>
      <c r="O57"/>
    </row>
    <row r="58" spans="1:15" ht="21" customHeight="1" x14ac:dyDescent="0.45">
      <c r="A58"/>
      <c r="B58"/>
      <c r="C58"/>
      <c r="D58"/>
      <c r="E58"/>
      <c r="F58"/>
      <c r="G58"/>
      <c r="H58"/>
      <c r="I58"/>
      <c r="J58"/>
      <c r="L58"/>
      <c r="M58"/>
      <c r="N58"/>
      <c r="O58"/>
    </row>
    <row r="59" spans="1:15" ht="21" customHeight="1" x14ac:dyDescent="0.45">
      <c r="A59"/>
      <c r="B59"/>
      <c r="C59"/>
      <c r="D59"/>
      <c r="E59"/>
      <c r="F59"/>
      <c r="G59"/>
      <c r="H59"/>
      <c r="I59"/>
      <c r="J59"/>
      <c r="L59"/>
      <c r="M59"/>
      <c r="N59"/>
      <c r="O59"/>
    </row>
    <row r="60" spans="1:15" ht="21" customHeight="1" x14ac:dyDescent="0.45">
      <c r="A60"/>
      <c r="B60"/>
      <c r="C60"/>
      <c r="D60"/>
      <c r="E60"/>
      <c r="F60"/>
      <c r="G60"/>
      <c r="H60"/>
      <c r="I60"/>
      <c r="J60"/>
      <c r="L60"/>
      <c r="M60"/>
      <c r="N60"/>
      <c r="O60"/>
    </row>
    <row r="61" spans="1:15" ht="21" customHeight="1" x14ac:dyDescent="0.45">
      <c r="A61"/>
      <c r="B61"/>
      <c r="C61"/>
      <c r="D61"/>
      <c r="E61"/>
      <c r="F61"/>
      <c r="G61"/>
      <c r="H61"/>
      <c r="I61"/>
      <c r="J61"/>
      <c r="L61"/>
      <c r="M61"/>
      <c r="N61"/>
      <c r="O61"/>
    </row>
    <row r="62" spans="1:15" ht="21" customHeight="1" x14ac:dyDescent="0.45">
      <c r="A62"/>
      <c r="B62"/>
      <c r="C62"/>
      <c r="D62"/>
      <c r="E62"/>
      <c r="F62"/>
      <c r="G62"/>
      <c r="H62"/>
      <c r="I62"/>
      <c r="J62"/>
      <c r="L62"/>
      <c r="M62"/>
      <c r="N62"/>
      <c r="O62"/>
    </row>
    <row r="63" spans="1:15" ht="21" customHeight="1" x14ac:dyDescent="0.45">
      <c r="A63"/>
      <c r="B63"/>
      <c r="C63"/>
      <c r="D63"/>
      <c r="E63"/>
      <c r="F63"/>
      <c r="G63"/>
      <c r="H63"/>
      <c r="I63"/>
      <c r="J63"/>
      <c r="L63"/>
      <c r="M63"/>
      <c r="N63"/>
      <c r="O63"/>
    </row>
    <row r="64" spans="1:15" ht="21" customHeight="1" x14ac:dyDescent="0.45">
      <c r="A64"/>
      <c r="B64"/>
      <c r="C64"/>
      <c r="D64"/>
      <c r="E64"/>
      <c r="F64"/>
      <c r="G64"/>
      <c r="H64"/>
      <c r="I64"/>
      <c r="J64"/>
      <c r="L64"/>
      <c r="M64"/>
      <c r="N64"/>
      <c r="O64"/>
    </row>
    <row r="65" customFormat="1" ht="21" customHeight="1" x14ac:dyDescent="0.45"/>
    <row r="66" customFormat="1" ht="21" customHeight="1" x14ac:dyDescent="0.45"/>
    <row r="67" customFormat="1" ht="21" customHeight="1" x14ac:dyDescent="0.45"/>
    <row r="68" customFormat="1" ht="21" customHeight="1" x14ac:dyDescent="0.45"/>
    <row r="69" customFormat="1" ht="21" customHeight="1" x14ac:dyDescent="0.45"/>
    <row r="70" customFormat="1" ht="21" customHeight="1" x14ac:dyDescent="0.45"/>
    <row r="71" customFormat="1" ht="21" customHeight="1" x14ac:dyDescent="0.45"/>
    <row r="72" customFormat="1" ht="21" customHeight="1" x14ac:dyDescent="0.45"/>
    <row r="73" customFormat="1" ht="21" customHeight="1" x14ac:dyDescent="0.45"/>
    <row r="74" customFormat="1" ht="21" customHeight="1" x14ac:dyDescent="0.45"/>
    <row r="75" customFormat="1" ht="21" customHeight="1" x14ac:dyDescent="0.45"/>
    <row r="76" customFormat="1" ht="21" customHeight="1" x14ac:dyDescent="0.45"/>
    <row r="77" customFormat="1" ht="21" customHeight="1" x14ac:dyDescent="0.45"/>
    <row r="78" customFormat="1" ht="21" customHeight="1" x14ac:dyDescent="0.45"/>
    <row r="79" customFormat="1" ht="21" customHeight="1" x14ac:dyDescent="0.45"/>
    <row r="80" customFormat="1" ht="21" customHeight="1" x14ac:dyDescent="0.45"/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</sheetData>
  <sheetProtection selectLockedCells="1"/>
  <dataValidations count="2">
    <dataValidation type="whole" operator="lessThanOrEqual" allowBlank="1" showInputMessage="1" showErrorMessage="1" sqref="L2" xr:uid="{00000000-0002-0000-0000-000000000000}">
      <formula1>K2</formula1>
      <formula2>0</formula2>
    </dataValidation>
    <dataValidation type="whole" operator="lessThanOrEqual" allowBlank="1" showInputMessage="1" showErrorMessage="1" sqref="M2" xr:uid="{00000000-0002-0000-0000-000001000000}">
      <formula1>K2</formula1>
      <formula2>0</formula2>
    </dataValidation>
  </dataValidations>
  <pageMargins left="0.5" right="0.25" top="0.25" bottom="0.25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Legend!$A$58:$A$63</xm:f>
          </x14:formula1>
          <x14:formula2>
            <xm:f>0</xm:f>
          </x14:formula2>
          <xm:sqref>I2:I2314</xm:sqref>
        </x14:dataValidation>
        <x14:dataValidation type="list" allowBlank="1" showInputMessage="1" showErrorMessage="1" xr:uid="{00000000-0002-0000-0000-000003000000}">
          <x14:formula1>
            <xm:f>Legend!$A$12:$A$19</xm:f>
          </x14:formula1>
          <x14:formula2>
            <xm:f>0</xm:f>
          </x14:formula2>
          <xm:sqref>B2:B2314</xm:sqref>
        </x14:dataValidation>
        <x14:dataValidation type="list" allowBlank="1" showInputMessage="1" showErrorMessage="1" xr:uid="{00000000-0002-0000-0000-000004000000}">
          <x14:formula1>
            <xm:f>Legend!$A$66:$A$74</xm:f>
          </x14:formula1>
          <x14:formula2>
            <xm:f>0</xm:f>
          </x14:formula2>
          <xm:sqref>J2:J2314</xm:sqref>
        </x14:dataValidation>
        <x14:dataValidation type="list" allowBlank="1" showInputMessage="1" showErrorMessage="1" xr:uid="{00000000-0002-0000-0000-000005000000}">
          <x14:formula1>
            <xm:f>Legend!$A$84:$A$86</xm:f>
          </x14:formula1>
          <x14:formula2>
            <xm:f>0</xm:f>
          </x14:formula2>
          <xm:sqref>N2:N2314</xm:sqref>
        </x14:dataValidation>
        <x14:dataValidation type="list" allowBlank="1" showInputMessage="1" showErrorMessage="1" xr:uid="{00000000-0002-0000-0000-000006000000}">
          <x14:formula1>
            <xm:f>Legend!$A$33:$A$35</xm:f>
          </x14:formula1>
          <x14:formula2>
            <xm:f>0</xm:f>
          </x14:formula2>
          <xm:sqref>D2:D2314</xm:sqref>
        </x14:dataValidation>
        <x14:dataValidation type="list" allowBlank="1" showInputMessage="1" showErrorMessage="1" xr:uid="{00000000-0002-0000-0000-000007000000}">
          <x14:formula1>
            <xm:f>Legend!$A$50:$A$51</xm:f>
          </x14:formula1>
          <x14:formula2>
            <xm:f>0</xm:f>
          </x14:formula2>
          <xm:sqref>F2:F2314</xm:sqref>
        </x14:dataValidation>
        <x14:dataValidation type="list" allowBlank="1" showInputMessage="1" showErrorMessage="1" xr:uid="{00000000-0002-0000-0000-000008000000}">
          <x14:formula1>
            <xm:f>Legend!$A$38:$A$47</xm:f>
          </x14:formula1>
          <x14:formula2>
            <xm:f>0</xm:f>
          </x14:formula2>
          <xm:sqref>E1:E2314</xm:sqref>
        </x14:dataValidation>
        <x14:dataValidation type="list" allowBlank="1" showInputMessage="1" showErrorMessage="1" xr:uid="{00000000-0002-0000-0000-000009000000}">
          <x14:formula1>
            <xm:f>Legend!$A$22:$A$30</xm:f>
          </x14:formula1>
          <x14:formula2>
            <xm:f>0</xm:f>
          </x14:formula2>
          <xm:sqref>C2:C2314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2"/>
  <sheetViews>
    <sheetView topLeftCell="A5" zoomScale="150" zoomScaleNormal="150" workbookViewId="0">
      <selection activeCell="A5" sqref="A5"/>
    </sheetView>
  </sheetViews>
  <sheetFormatPr baseColWidth="10" defaultColWidth="9.1328125" defaultRowHeight="14.25" x14ac:dyDescent="0.45"/>
  <cols>
    <col min="1" max="1" width="20" customWidth="1"/>
    <col min="2" max="2" width="89.46484375" customWidth="1"/>
    <col min="3" max="3" width="17.1328125" customWidth="1"/>
  </cols>
  <sheetData>
    <row r="1" spans="1:3" ht="22.5" customHeight="1" x14ac:dyDescent="0.45">
      <c r="A1" s="26" t="s">
        <v>29</v>
      </c>
      <c r="B1" s="26"/>
      <c r="C1" s="26"/>
    </row>
    <row r="2" spans="1:3" ht="22.5" customHeight="1" x14ac:dyDescent="0.45">
      <c r="A2" s="2"/>
      <c r="B2" s="2"/>
      <c r="C2" s="2"/>
    </row>
    <row r="3" spans="1:3" ht="22.5" customHeight="1" x14ac:dyDescent="0.45">
      <c r="A3" s="10" t="s">
        <v>30</v>
      </c>
      <c r="B3" s="10"/>
      <c r="C3" s="11"/>
    </row>
    <row r="4" spans="1:3" ht="22.5" customHeight="1" x14ac:dyDescent="0.45">
      <c r="A4" s="27" t="s">
        <v>31</v>
      </c>
      <c r="B4" s="27"/>
      <c r="C4" s="27"/>
    </row>
    <row r="5" spans="1:3" ht="27.75" customHeight="1" x14ac:dyDescent="0.45">
      <c r="A5" s="27" t="s">
        <v>32</v>
      </c>
      <c r="B5" s="27"/>
      <c r="C5" s="27"/>
    </row>
    <row r="6" spans="1:3" ht="24.75" customHeight="1" x14ac:dyDescent="0.45">
      <c r="A6" s="27" t="s">
        <v>33</v>
      </c>
      <c r="B6" s="27"/>
      <c r="C6" s="27"/>
    </row>
    <row r="7" spans="1:3" ht="24" customHeight="1" x14ac:dyDescent="0.45">
      <c r="A7" s="27" t="s">
        <v>34</v>
      </c>
      <c r="B7" s="27"/>
      <c r="C7" s="27"/>
    </row>
    <row r="8" spans="1:3" ht="18" x14ac:dyDescent="0.45">
      <c r="A8" s="12"/>
      <c r="B8" s="12"/>
      <c r="C8" s="12"/>
    </row>
    <row r="9" spans="1:3" ht="18" x14ac:dyDescent="0.55000000000000004">
      <c r="A9" s="13" t="s">
        <v>0</v>
      </c>
      <c r="B9" s="14" t="s">
        <v>35</v>
      </c>
      <c r="C9" s="14"/>
    </row>
    <row r="10" spans="1:3" ht="18" x14ac:dyDescent="0.55000000000000004">
      <c r="A10" s="15"/>
      <c r="B10" s="15"/>
      <c r="C10" s="15"/>
    </row>
    <row r="11" spans="1:3" ht="18" x14ac:dyDescent="0.55000000000000004">
      <c r="A11" s="16" t="s">
        <v>1</v>
      </c>
      <c r="B11" s="14"/>
      <c r="C11" s="14"/>
    </row>
    <row r="12" spans="1:3" ht="18" x14ac:dyDescent="0.55000000000000004">
      <c r="A12" s="15" t="s">
        <v>36</v>
      </c>
      <c r="B12" s="1" t="s">
        <v>37</v>
      </c>
      <c r="C12" s="15"/>
    </row>
    <row r="13" spans="1:3" ht="18" x14ac:dyDescent="0.55000000000000004">
      <c r="A13" s="15" t="s">
        <v>38</v>
      </c>
      <c r="B13" s="1" t="s">
        <v>39</v>
      </c>
      <c r="C13" s="15"/>
    </row>
    <row r="14" spans="1:3" ht="18" x14ac:dyDescent="0.55000000000000004">
      <c r="A14" s="15" t="s">
        <v>40</v>
      </c>
      <c r="B14" s="1" t="s">
        <v>41</v>
      </c>
      <c r="C14" s="15"/>
    </row>
    <row r="15" spans="1:3" ht="18" x14ac:dyDescent="0.55000000000000004">
      <c r="A15" s="15" t="s">
        <v>42</v>
      </c>
      <c r="B15" s="1" t="s">
        <v>43</v>
      </c>
      <c r="C15" s="15"/>
    </row>
    <row r="16" spans="1:3" ht="18" x14ac:dyDescent="0.55000000000000004">
      <c r="A16" s="15" t="s">
        <v>44</v>
      </c>
      <c r="B16" s="1" t="s">
        <v>45</v>
      </c>
      <c r="C16" s="15"/>
    </row>
    <row r="17" spans="1:3" ht="18" x14ac:dyDescent="0.55000000000000004">
      <c r="A17" s="15" t="s">
        <v>46</v>
      </c>
      <c r="B17" s="1" t="s">
        <v>47</v>
      </c>
      <c r="C17" s="15"/>
    </row>
    <row r="18" spans="1:3" ht="18" x14ac:dyDescent="0.55000000000000004">
      <c r="A18" s="15" t="s">
        <v>48</v>
      </c>
      <c r="B18" s="1" t="s">
        <v>49</v>
      </c>
      <c r="C18" s="15"/>
    </row>
    <row r="19" spans="1:3" ht="18" x14ac:dyDescent="0.55000000000000004">
      <c r="A19" s="15" t="s">
        <v>15</v>
      </c>
      <c r="B19" s="1" t="s">
        <v>50</v>
      </c>
      <c r="C19" s="15"/>
    </row>
    <row r="20" spans="1:3" ht="18" x14ac:dyDescent="0.55000000000000004">
      <c r="A20" s="15"/>
      <c r="B20" s="1"/>
      <c r="C20" s="15"/>
    </row>
    <row r="21" spans="1:3" ht="18" x14ac:dyDescent="0.55000000000000004">
      <c r="A21" s="16" t="s">
        <v>2</v>
      </c>
      <c r="B21" s="10" t="s">
        <v>51</v>
      </c>
      <c r="C21" s="14"/>
    </row>
    <row r="22" spans="1:3" ht="18" x14ac:dyDescent="0.55000000000000004">
      <c r="A22" s="15" t="s">
        <v>24</v>
      </c>
      <c r="B22" s="1"/>
      <c r="C22" s="15"/>
    </row>
    <row r="23" spans="1:3" ht="18" x14ac:dyDescent="0.55000000000000004">
      <c r="A23" s="15" t="s">
        <v>16</v>
      </c>
      <c r="B23" s="1"/>
      <c r="C23" s="15"/>
    </row>
    <row r="24" spans="1:3" ht="18" x14ac:dyDescent="0.55000000000000004">
      <c r="A24" s="15" t="s">
        <v>28</v>
      </c>
      <c r="B24" s="1"/>
      <c r="C24" s="15"/>
    </row>
    <row r="25" spans="1:3" ht="18" x14ac:dyDescent="0.55000000000000004">
      <c r="A25" s="15" t="s">
        <v>52</v>
      </c>
      <c r="B25" s="15"/>
      <c r="C25" s="15"/>
    </row>
    <row r="26" spans="1:3" ht="18" x14ac:dyDescent="0.55000000000000004">
      <c r="A26" s="15" t="s">
        <v>53</v>
      </c>
      <c r="B26" s="15"/>
      <c r="C26" s="15"/>
    </row>
    <row r="27" spans="1:3" ht="18" x14ac:dyDescent="0.55000000000000004">
      <c r="A27" s="15" t="s">
        <v>54</v>
      </c>
      <c r="B27" s="15"/>
      <c r="C27" s="15"/>
    </row>
    <row r="28" spans="1:3" ht="18" x14ac:dyDescent="0.55000000000000004">
      <c r="A28" s="15" t="s">
        <v>55</v>
      </c>
      <c r="B28" s="15"/>
      <c r="C28" s="15"/>
    </row>
    <row r="29" spans="1:3" ht="18" x14ac:dyDescent="0.55000000000000004">
      <c r="A29" s="15" t="s">
        <v>56</v>
      </c>
      <c r="B29" s="15"/>
      <c r="C29" s="15"/>
    </row>
    <row r="30" spans="1:3" ht="18" x14ac:dyDescent="0.55000000000000004">
      <c r="A30" s="15" t="s">
        <v>57</v>
      </c>
      <c r="B30" s="15" t="s">
        <v>58</v>
      </c>
      <c r="C30" s="15"/>
    </row>
    <row r="31" spans="1:3" ht="18" x14ac:dyDescent="0.55000000000000004">
      <c r="A31" s="15"/>
      <c r="B31" s="15"/>
      <c r="C31" s="15"/>
    </row>
    <row r="32" spans="1:3" ht="18" x14ac:dyDescent="0.55000000000000004">
      <c r="A32" s="16" t="s">
        <v>3</v>
      </c>
      <c r="B32" s="10"/>
      <c r="C32" s="14"/>
    </row>
    <row r="33" spans="1:3" ht="18" x14ac:dyDescent="0.55000000000000004">
      <c r="A33" s="15">
        <v>1</v>
      </c>
      <c r="B33" s="1"/>
      <c r="C33" s="15"/>
    </row>
    <row r="34" spans="1:3" ht="18" x14ac:dyDescent="0.55000000000000004">
      <c r="A34" s="15">
        <v>2</v>
      </c>
      <c r="B34" s="1"/>
      <c r="C34" s="15"/>
    </row>
    <row r="35" spans="1:3" ht="18" x14ac:dyDescent="0.55000000000000004">
      <c r="A35" s="15">
        <v>3</v>
      </c>
      <c r="B35" s="1"/>
      <c r="C35" s="15"/>
    </row>
    <row r="36" spans="1:3" ht="18" x14ac:dyDescent="0.55000000000000004">
      <c r="A36" s="15"/>
      <c r="B36" s="15"/>
      <c r="C36" s="15"/>
    </row>
    <row r="37" spans="1:3" ht="18" x14ac:dyDescent="0.55000000000000004">
      <c r="A37" s="16" t="s">
        <v>4</v>
      </c>
      <c r="B37" s="10" t="s">
        <v>59</v>
      </c>
      <c r="C37" s="14"/>
    </row>
    <row r="38" spans="1:3" ht="18" x14ac:dyDescent="0.55000000000000004">
      <c r="A38" s="15">
        <v>1</v>
      </c>
      <c r="B38" s="1"/>
      <c r="C38" s="15"/>
    </row>
    <row r="39" spans="1:3" ht="18" x14ac:dyDescent="0.55000000000000004">
      <c r="A39" s="15">
        <v>2</v>
      </c>
      <c r="B39" s="1"/>
      <c r="C39" s="15"/>
    </row>
    <row r="40" spans="1:3" ht="18" x14ac:dyDescent="0.55000000000000004">
      <c r="A40" s="15">
        <v>3</v>
      </c>
      <c r="B40" s="1"/>
      <c r="C40" s="15"/>
    </row>
    <row r="41" spans="1:3" ht="18" x14ac:dyDescent="0.55000000000000004">
      <c r="A41" s="15">
        <v>4</v>
      </c>
      <c r="B41" s="1"/>
      <c r="C41" s="15"/>
    </row>
    <row r="42" spans="1:3" ht="18" x14ac:dyDescent="0.55000000000000004">
      <c r="A42" s="15">
        <v>5</v>
      </c>
      <c r="B42" s="1"/>
      <c r="C42" s="15"/>
    </row>
    <row r="43" spans="1:3" ht="18" x14ac:dyDescent="0.55000000000000004">
      <c r="A43" s="15">
        <v>6</v>
      </c>
      <c r="B43" s="1"/>
      <c r="C43" s="15"/>
    </row>
    <row r="44" spans="1:3" ht="18" x14ac:dyDescent="0.55000000000000004">
      <c r="A44" s="15">
        <v>7</v>
      </c>
      <c r="B44" s="1"/>
      <c r="C44" s="15"/>
    </row>
    <row r="45" spans="1:3" ht="18" x14ac:dyDescent="0.55000000000000004">
      <c r="A45" s="15">
        <v>8</v>
      </c>
      <c r="B45" s="1"/>
      <c r="C45" s="15"/>
    </row>
    <row r="46" spans="1:3" ht="18" x14ac:dyDescent="0.55000000000000004">
      <c r="A46" s="15">
        <v>9</v>
      </c>
      <c r="B46" s="1"/>
      <c r="C46" s="15"/>
    </row>
    <row r="47" spans="1:3" ht="18" x14ac:dyDescent="0.55000000000000004">
      <c r="A47" s="15">
        <v>10</v>
      </c>
      <c r="B47" s="1"/>
      <c r="C47" s="15"/>
    </row>
    <row r="48" spans="1:3" ht="18" x14ac:dyDescent="0.55000000000000004">
      <c r="A48" s="17"/>
      <c r="B48" s="1"/>
      <c r="C48" s="15"/>
    </row>
    <row r="49" spans="1:3" ht="18" x14ac:dyDescent="0.55000000000000004">
      <c r="A49" s="16" t="s">
        <v>60</v>
      </c>
      <c r="B49" s="14"/>
      <c r="C49" s="14"/>
    </row>
    <row r="50" spans="1:3" ht="18" x14ac:dyDescent="0.55000000000000004">
      <c r="A50" s="15">
        <v>1</v>
      </c>
      <c r="B50" s="15" t="s">
        <v>61</v>
      </c>
      <c r="C50" s="15"/>
    </row>
    <row r="51" spans="1:3" ht="18" x14ac:dyDescent="0.55000000000000004">
      <c r="A51" s="15">
        <v>2</v>
      </c>
      <c r="B51" s="15" t="s">
        <v>62</v>
      </c>
      <c r="C51" s="15"/>
    </row>
    <row r="52" spans="1:3" ht="18" x14ac:dyDescent="0.55000000000000004">
      <c r="A52" s="15"/>
      <c r="B52" s="15"/>
      <c r="C52" s="15"/>
    </row>
    <row r="53" spans="1:3" ht="18" x14ac:dyDescent="0.55000000000000004">
      <c r="A53" s="13" t="s">
        <v>6</v>
      </c>
      <c r="B53" s="14" t="s">
        <v>35</v>
      </c>
      <c r="C53" s="14"/>
    </row>
    <row r="54" spans="1:3" ht="18" x14ac:dyDescent="0.55000000000000004">
      <c r="A54" s="15"/>
      <c r="B54" s="15"/>
      <c r="C54" s="15"/>
    </row>
    <row r="55" spans="1:3" ht="18" x14ac:dyDescent="0.55000000000000004">
      <c r="A55" s="16" t="s">
        <v>7</v>
      </c>
      <c r="B55" s="10" t="s">
        <v>63</v>
      </c>
      <c r="C55" s="14"/>
    </row>
    <row r="56" spans="1:3" ht="18" x14ac:dyDescent="0.55000000000000004">
      <c r="A56" s="15"/>
      <c r="B56" s="15"/>
      <c r="C56" s="15"/>
    </row>
    <row r="57" spans="1:3" ht="18" x14ac:dyDescent="0.55000000000000004">
      <c r="A57" s="16" t="s">
        <v>8</v>
      </c>
      <c r="B57" s="14" t="s">
        <v>9</v>
      </c>
      <c r="C57" s="14" t="s">
        <v>1</v>
      </c>
    </row>
    <row r="58" spans="1:3" ht="18" x14ac:dyDescent="0.55000000000000004">
      <c r="A58" s="15">
        <v>1</v>
      </c>
      <c r="B58" s="18" t="s">
        <v>64</v>
      </c>
      <c r="C58" s="15" t="s">
        <v>65</v>
      </c>
    </row>
    <row r="59" spans="1:3" ht="18" x14ac:dyDescent="0.55000000000000004">
      <c r="A59" s="15">
        <v>2</v>
      </c>
      <c r="B59" s="18" t="s">
        <v>66</v>
      </c>
      <c r="C59" s="15" t="s">
        <v>44</v>
      </c>
    </row>
    <row r="60" spans="1:3" ht="18" x14ac:dyDescent="0.55000000000000004">
      <c r="A60" s="15">
        <v>3</v>
      </c>
      <c r="B60" s="18" t="s">
        <v>67</v>
      </c>
      <c r="C60" s="15" t="s">
        <v>46</v>
      </c>
    </row>
    <row r="61" spans="1:3" ht="18" x14ac:dyDescent="0.55000000000000004">
      <c r="A61" s="15">
        <v>4</v>
      </c>
      <c r="B61" s="18" t="s">
        <v>68</v>
      </c>
      <c r="C61" s="15" t="s">
        <v>40</v>
      </c>
    </row>
    <row r="62" spans="1:3" ht="18" x14ac:dyDescent="0.55000000000000004">
      <c r="A62" s="15">
        <v>5</v>
      </c>
      <c r="B62" s="18" t="s">
        <v>69</v>
      </c>
      <c r="C62" s="15" t="s">
        <v>36</v>
      </c>
    </row>
    <row r="63" spans="1:3" ht="18" x14ac:dyDescent="0.55000000000000004">
      <c r="A63" s="15">
        <v>6</v>
      </c>
      <c r="B63" s="18" t="s">
        <v>70</v>
      </c>
      <c r="C63" s="15" t="s">
        <v>42</v>
      </c>
    </row>
    <row r="64" spans="1:3" ht="18" x14ac:dyDescent="0.55000000000000004">
      <c r="A64" s="15"/>
      <c r="B64" s="15"/>
      <c r="C64" s="15"/>
    </row>
    <row r="65" spans="1:3" ht="58.5" customHeight="1" x14ac:dyDescent="0.55000000000000004">
      <c r="A65" s="19" t="s">
        <v>9</v>
      </c>
      <c r="B65" s="20" t="s">
        <v>71</v>
      </c>
      <c r="C65" s="14"/>
    </row>
    <row r="66" spans="1:3" ht="18" x14ac:dyDescent="0.55000000000000004">
      <c r="A66" s="15" t="s">
        <v>21</v>
      </c>
      <c r="B66" s="15">
        <v>25</v>
      </c>
      <c r="C66" s="15"/>
    </row>
    <row r="67" spans="1:3" ht="18" x14ac:dyDescent="0.55000000000000004">
      <c r="A67" s="15" t="s">
        <v>18</v>
      </c>
      <c r="B67" s="15">
        <v>5</v>
      </c>
      <c r="C67" s="15"/>
    </row>
    <row r="68" spans="1:3" ht="18" x14ac:dyDescent="0.55000000000000004">
      <c r="A68" s="15" t="s">
        <v>72</v>
      </c>
      <c r="B68" s="15">
        <v>35</v>
      </c>
      <c r="C68" s="15"/>
    </row>
    <row r="69" spans="1:3" ht="18" x14ac:dyDescent="0.55000000000000004">
      <c r="A69" s="15" t="s">
        <v>22</v>
      </c>
      <c r="B69" s="15">
        <v>120</v>
      </c>
      <c r="C69" s="15"/>
    </row>
    <row r="70" spans="1:3" ht="18" x14ac:dyDescent="0.55000000000000004">
      <c r="A70" s="15" t="s">
        <v>73</v>
      </c>
      <c r="B70" s="15">
        <v>9</v>
      </c>
      <c r="C70" s="15"/>
    </row>
    <row r="71" spans="1:3" ht="18" x14ac:dyDescent="0.55000000000000004">
      <c r="A71" s="15" t="s">
        <v>74</v>
      </c>
      <c r="B71" s="15">
        <v>3</v>
      </c>
      <c r="C71" s="15"/>
    </row>
    <row r="72" spans="1:3" ht="18" x14ac:dyDescent="0.55000000000000004">
      <c r="A72" s="15" t="s">
        <v>75</v>
      </c>
      <c r="B72" s="15">
        <v>120</v>
      </c>
      <c r="C72" s="15"/>
    </row>
    <row r="73" spans="1:3" ht="18" x14ac:dyDescent="0.55000000000000004">
      <c r="A73" s="15" t="s">
        <v>21</v>
      </c>
      <c r="B73" s="15">
        <v>25</v>
      </c>
      <c r="C73" s="15"/>
    </row>
    <row r="74" spans="1:3" ht="18" x14ac:dyDescent="0.55000000000000004">
      <c r="A74" s="15" t="s">
        <v>70</v>
      </c>
      <c r="B74" s="15">
        <v>180</v>
      </c>
      <c r="C74" s="15"/>
    </row>
    <row r="75" spans="1:3" ht="18" x14ac:dyDescent="0.55000000000000004">
      <c r="A75" s="15"/>
      <c r="B75" s="15"/>
      <c r="C75" s="15"/>
    </row>
    <row r="76" spans="1:3" ht="36" x14ac:dyDescent="0.55000000000000004">
      <c r="A76" s="6" t="s">
        <v>10</v>
      </c>
      <c r="B76" s="21" t="s">
        <v>76</v>
      </c>
      <c r="C76" s="14"/>
    </row>
    <row r="77" spans="1:3" ht="18" x14ac:dyDescent="0.55000000000000004">
      <c r="A77" s="15"/>
      <c r="B77" s="15"/>
      <c r="C77" s="15"/>
    </row>
    <row r="78" spans="1:3" ht="18" x14ac:dyDescent="0.55000000000000004">
      <c r="A78" s="16" t="s">
        <v>11</v>
      </c>
      <c r="B78" s="14" t="s">
        <v>77</v>
      </c>
      <c r="C78" s="14"/>
    </row>
    <row r="79" spans="1:3" ht="36" x14ac:dyDescent="0.55000000000000004">
      <c r="A79" s="15"/>
      <c r="B79" s="22" t="s">
        <v>78</v>
      </c>
      <c r="C79" s="15"/>
    </row>
    <row r="80" spans="1:3" ht="18" x14ac:dyDescent="0.55000000000000004">
      <c r="A80" s="15"/>
      <c r="B80" s="15"/>
      <c r="C80" s="15"/>
    </row>
    <row r="81" spans="1:3" ht="18" x14ac:dyDescent="0.55000000000000004">
      <c r="A81" s="16" t="s">
        <v>12</v>
      </c>
      <c r="B81" s="14" t="s">
        <v>79</v>
      </c>
      <c r="C81" s="14"/>
    </row>
    <row r="82" spans="1:3" ht="18" x14ac:dyDescent="0.55000000000000004">
      <c r="A82" s="15"/>
      <c r="B82" s="15"/>
      <c r="C82" s="15"/>
    </row>
    <row r="83" spans="1:3" ht="18" x14ac:dyDescent="0.55000000000000004">
      <c r="A83" s="16" t="s">
        <v>13</v>
      </c>
      <c r="B83" s="23" t="s">
        <v>80</v>
      </c>
      <c r="C83" s="14"/>
    </row>
    <row r="84" spans="1:3" ht="18" x14ac:dyDescent="0.55000000000000004">
      <c r="A84" s="15" t="s">
        <v>19</v>
      </c>
      <c r="B84" s="15"/>
      <c r="C84" s="15"/>
    </row>
    <row r="85" spans="1:3" ht="18" x14ac:dyDescent="0.55000000000000004">
      <c r="A85" s="15" t="s">
        <v>25</v>
      </c>
      <c r="B85" s="15"/>
      <c r="C85" s="15"/>
    </row>
    <row r="86" spans="1:3" ht="18" x14ac:dyDescent="0.55000000000000004">
      <c r="A86" s="15" t="s">
        <v>26</v>
      </c>
      <c r="B86" s="15"/>
      <c r="C86" s="15"/>
    </row>
    <row r="87" spans="1:3" ht="18" x14ac:dyDescent="0.55000000000000004">
      <c r="A87" s="17"/>
      <c r="B87" s="24"/>
      <c r="C87" s="15"/>
    </row>
    <row r="88" spans="1:3" ht="18" x14ac:dyDescent="0.55000000000000004">
      <c r="A88" s="16" t="s">
        <v>14</v>
      </c>
      <c r="B88" s="14"/>
      <c r="C88" s="14"/>
    </row>
    <row r="89" spans="1:3" ht="18" x14ac:dyDescent="0.55000000000000004">
      <c r="A89" s="25" t="s">
        <v>81</v>
      </c>
      <c r="B89" s="15"/>
      <c r="C89" s="15"/>
    </row>
    <row r="90" spans="1:3" ht="18" x14ac:dyDescent="0.55000000000000004">
      <c r="A90" s="25" t="s">
        <v>82</v>
      </c>
      <c r="B90" s="15"/>
      <c r="C90" s="15"/>
    </row>
    <row r="91" spans="1:3" ht="18" x14ac:dyDescent="0.55000000000000004">
      <c r="A91" s="15" t="s">
        <v>83</v>
      </c>
      <c r="B91" s="15"/>
      <c r="C91" s="15"/>
    </row>
    <row r="92" spans="1:3" ht="18" x14ac:dyDescent="0.55000000000000004">
      <c r="A92" s="15"/>
      <c r="B92" s="15"/>
      <c r="C92" s="15"/>
    </row>
  </sheetData>
  <sheetProtection algorithmName="SHA-512" hashValue="Lr3I/GRzPLcvLPk5SJ+WAqa0L/MQQc0M6eC7a5h1VJr1/FipEUGwk9HWe3JM8eHzOJQZyVkFtTJSTqO4PvgeBw==" saltValue="+j2JIWUXuLz0PP+gOFEMQA==" spinCount="100000" sheet="1" objects="1" scenarios="1"/>
  <mergeCells count="5">
    <mergeCell ref="A1:C1"/>
    <mergeCell ref="A4:C4"/>
    <mergeCell ref="A5:C5"/>
    <mergeCell ref="A6:C6"/>
    <mergeCell ref="A7:C7"/>
  </mergeCells>
  <pageMargins left="0.7" right="0.7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Dorigo  Martina</dc:creator>
  <dc:description/>
  <cp:lastModifiedBy>Perret  Eléonore</cp:lastModifiedBy>
  <cp:revision>2</cp:revision>
  <cp:lastPrinted>2024-09-23T12:59:59Z</cp:lastPrinted>
  <dcterms:created xsi:type="dcterms:W3CDTF">2024-09-18T08:19:01Z</dcterms:created>
  <dcterms:modified xsi:type="dcterms:W3CDTF">2025-05-26T12:02:35Z</dcterms:modified>
  <dc:language>en-US</dc:language>
</cp:coreProperties>
</file>